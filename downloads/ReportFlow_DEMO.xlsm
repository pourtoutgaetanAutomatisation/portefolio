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eta\Desktop\PORTEFOLIO AUTOMATISATION\01_REPORTING_MENSUEL\02_OUTIL\"/>
    </mc:Choice>
  </mc:AlternateContent>
  <xr:revisionPtr revIDLastSave="0" documentId="13_ncr:1_{1C73C824-3573-484A-A712-16C241A2E5EB}" xr6:coauthVersionLast="47" xr6:coauthVersionMax="47" xr10:uidLastSave="{00000000-0000-0000-0000-000000000000}"/>
  <bookViews>
    <workbookView xWindow="-120" yWindow="-120" windowWidth="29040" windowHeight="15840" tabRatio="777" xr2:uid="{00000000-000D-0000-FFFF-FFFF00000000}"/>
  </bookViews>
  <sheets>
    <sheet name="ACCUEIL" sheetId="1" r:id="rId1"/>
    <sheet name="PARAMETRES" sheetId="2" r:id="rId2"/>
    <sheet name="BASE_VENTES" sheetId="6" r:id="rId3"/>
    <sheet name="BASE_OBJECTIFS" sheetId="7" r:id="rId4"/>
    <sheet name="BASE_ANNULATIONS" sheetId="8" r:id="rId5"/>
    <sheet name="BASE_COMMERCIAUX" sheetId="9" r:id="rId6"/>
    <sheet name="ANOMALIES" sheetId="11" r:id="rId7"/>
    <sheet name="SYNTHESE" sheetId="4" r:id="rId8"/>
    <sheet name="DASHBOARD" sheetId="10" r:id="rId9"/>
    <sheet name="COMMENTAIRES" sheetId="12" r:id="rId10"/>
    <sheet name="JOURNAL" sheetId="5" r:id="rId11"/>
  </sheets>
  <definedNames>
    <definedName name="_xlnm.Print_Area" localSheetId="8">DASHBOARD!$B$2:$Q$39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<sst xmlns="http://schemas.openxmlformats.org/spreadsheetml/2006/main" count="282" uniqueCount="171">
  <si>
    <t>PARAMETRE</t>
  </si>
  <si>
    <t>VALEUR</t>
  </si>
  <si>
    <t>Fichier ventes</t>
  </si>
  <si>
    <t>Fichier objectifs</t>
  </si>
  <si>
    <t>Fichier annulations</t>
  </si>
  <si>
    <t>Fichier commerciaux</t>
  </si>
  <si>
    <t>Feuille ventes</t>
  </si>
  <si>
    <t>VENTES</t>
  </si>
  <si>
    <t>Feuille objectifs</t>
  </si>
  <si>
    <t>OBJECTIFS</t>
  </si>
  <si>
    <t>Feuille annulations</t>
  </si>
  <si>
    <t>ANNULATIONS</t>
  </si>
  <si>
    <t>Feuille commerciaux</t>
  </si>
  <si>
    <t>COMMERCIAUX</t>
  </si>
  <si>
    <t>Nom tableau ventes</t>
  </si>
  <si>
    <t>tblVentes</t>
  </si>
  <si>
    <t>Nom tableau objectifs</t>
  </si>
  <si>
    <t>tblObjectifs</t>
  </si>
  <si>
    <t>Nom tableau annulations</t>
  </si>
  <si>
    <t>tblAnnulations</t>
  </si>
  <si>
    <t>Nom tableau commerciaux</t>
  </si>
  <si>
    <t>tblCommerciaux</t>
  </si>
  <si>
    <t>Dossier export</t>
  </si>
  <si>
    <t>Dernier traitement</t>
  </si>
  <si>
    <t>Mois</t>
  </si>
  <si>
    <t>ID_Commercial</t>
  </si>
  <si>
    <t>Objectif_CA</t>
  </si>
  <si>
    <t>Objectif_Ventes</t>
  </si>
  <si>
    <t>Objectif_Taux_Annulation</t>
  </si>
  <si>
    <t>Date_Vente</t>
  </si>
  <si>
    <t>ID_Vente</t>
  </si>
  <si>
    <t>ID_Client</t>
  </si>
  <si>
    <t>Region</t>
  </si>
  <si>
    <t>Produit</t>
  </si>
  <si>
    <t>Canal_Vente</t>
  </si>
  <si>
    <t>Quantite</t>
  </si>
  <si>
    <t>Prix_Unitaire</t>
  </si>
  <si>
    <t>Chiffre_Affaires</t>
  </si>
  <si>
    <t>Statut_Vente</t>
  </si>
  <si>
    <t>Nom_Commercial</t>
  </si>
  <si>
    <t>Manager</t>
  </si>
  <si>
    <t>Date_Entree</t>
  </si>
  <si>
    <t>Date_Sortie</t>
  </si>
  <si>
    <t>Statut</t>
  </si>
  <si>
    <t>Date_Annulation</t>
  </si>
  <si>
    <t>ID_Annulation</t>
  </si>
  <si>
    <t>Montant_Annule</t>
  </si>
  <si>
    <t>Type_Annulation</t>
  </si>
  <si>
    <t>Motif</t>
  </si>
  <si>
    <t>VTE-000001</t>
  </si>
  <si>
    <t>COM-001</t>
  </si>
  <si>
    <t>CLI-0001</t>
  </si>
  <si>
    <t>Nord</t>
  </si>
  <si>
    <t>Offre Essentiel</t>
  </si>
  <si>
    <t>Téléphone</t>
  </si>
  <si>
    <t>Validée</t>
  </si>
  <si>
    <t>VTE-000002</t>
  </si>
  <si>
    <t>COM-002</t>
  </si>
  <si>
    <t>CLI-0002</t>
  </si>
  <si>
    <t>Sud</t>
  </si>
  <si>
    <t>Offre Premium</t>
  </si>
  <si>
    <t>Web</t>
  </si>
  <si>
    <t>VTE-000003</t>
  </si>
  <si>
    <t>COM-003</t>
  </si>
  <si>
    <t>CLI-0003</t>
  </si>
  <si>
    <t>Est</t>
  </si>
  <si>
    <t>Offre Pro</t>
  </si>
  <si>
    <t>Commercial</t>
  </si>
  <si>
    <t>VTE-000004</t>
  </si>
  <si>
    <t>COM-004</t>
  </si>
  <si>
    <t>CLI-0004</t>
  </si>
  <si>
    <t>Ouest</t>
  </si>
  <si>
    <t>VTE-000005</t>
  </si>
  <si>
    <t>COM-005</t>
  </si>
  <si>
    <t>CLI-0005</t>
  </si>
  <si>
    <t>Ile-de-France</t>
  </si>
  <si>
    <t>VTE-000006</t>
  </si>
  <si>
    <t>CLI-0006</t>
  </si>
  <si>
    <t>VTE-000007</t>
  </si>
  <si>
    <t>CLI-0007</t>
  </si>
  <si>
    <t>VTE-000008</t>
  </si>
  <si>
    <t>CLI-0008</t>
  </si>
  <si>
    <t>VTE-000009</t>
  </si>
  <si>
    <t>CLI-0009</t>
  </si>
  <si>
    <t>VTE-000010</t>
  </si>
  <si>
    <t>CLI-0010</t>
  </si>
  <si>
    <t>Date_Heure</t>
  </si>
  <si>
    <t>Type_Import</t>
  </si>
  <si>
    <t>Fichier</t>
  </si>
  <si>
    <t>Nombre_Lignes</t>
  </si>
  <si>
    <t>Message</t>
  </si>
  <si>
    <t>ANN-0001</t>
  </si>
  <si>
    <t>Totale</t>
  </si>
  <si>
    <t>Rétractation client</t>
  </si>
  <si>
    <t>ANN-0002</t>
  </si>
  <si>
    <t>Partielle</t>
  </si>
  <si>
    <t>Modification de commande</t>
  </si>
  <si>
    <t>ANN-0003</t>
  </si>
  <si>
    <t>Erreur de quantité</t>
  </si>
  <si>
    <t>Annulations</t>
  </si>
  <si>
    <t>Alice Martin</t>
  </si>
  <si>
    <t>Sophie Durand</t>
  </si>
  <si>
    <t>Actif</t>
  </si>
  <si>
    <t>Karim Benali</t>
  </si>
  <si>
    <t>Julie Moreau</t>
  </si>
  <si>
    <t>Thomas Robert</t>
  </si>
  <si>
    <t>Thomas Leroy</t>
  </si>
  <si>
    <t>Sophie Bernard</t>
  </si>
  <si>
    <t>Claire Petit</t>
  </si>
  <si>
    <t>Date_Controle</t>
  </si>
  <si>
    <t>Source</t>
  </si>
  <si>
    <t>Ligne_Source</t>
  </si>
  <si>
    <t>Identifiant</t>
  </si>
  <si>
    <t>Type_Anomalie</t>
  </si>
  <si>
    <t>Niveau</t>
  </si>
  <si>
    <t>Description</t>
  </si>
  <si>
    <t>CA_Brut</t>
  </si>
  <si>
    <t>CA_Net</t>
  </si>
  <si>
    <t>Ecart_Objectif</t>
  </si>
  <si>
    <t>Taux_Atteinte</t>
  </si>
  <si>
    <t>Nombre_Ventes</t>
  </si>
  <si>
    <t>Ecart_Ventes</t>
  </si>
  <si>
    <t>Taux_Annulation</t>
  </si>
  <si>
    <t>Statut_Performance</t>
  </si>
  <si>
    <t>Mois analysé</t>
  </si>
  <si>
    <t>Seuil objectif atteint</t>
  </si>
  <si>
    <t>Seuil à surveiller</t>
  </si>
  <si>
    <t>SOUS OBJECTIF</t>
  </si>
  <si>
    <t>A SURVEILLER</t>
  </si>
  <si>
    <t>Dernier contrôle</t>
  </si>
  <si>
    <t>REPORTFLOW — COMMENTAIRES AUTOMATIQUES | JANVIER 2026</t>
  </si>
  <si>
    <t>Type de commentaire</t>
  </si>
  <si>
    <t>Commentaire</t>
  </si>
  <si>
    <t>Performance globale</t>
  </si>
  <si>
    <t>Répartition des performances</t>
  </si>
  <si>
    <t>Meilleur commercial</t>
  </si>
  <si>
    <t>Julie Moreau présente le meilleur taux d'atteinte avec 84,8%.</t>
  </si>
  <si>
    <t>Performance la plus faible</t>
  </si>
  <si>
    <t>Alice Martin présente le taux d'atteinte le plus faible avec 41,7%.</t>
  </si>
  <si>
    <t>Conclusion</t>
  </si>
  <si>
    <t>Nom présentation</t>
  </si>
  <si>
    <t>ReportFlow_Synthese_Commerciale.pptx</t>
  </si>
  <si>
    <t>Dernier Powerpoint généré</t>
  </si>
  <si>
    <t>Chemin du modèle PowerPoint</t>
  </si>
  <si>
    <t>C:\Users\gaeta\Desktop\PORTEFOLIO AUTOMATISATION\01_REPORTING_MENSUEL\03_MODELE_POWERPOINT\ReportFlow_Modele_Masque.pptx</t>
  </si>
  <si>
    <t>C:\Users\gaeta\Desktop\PORTEFOLIO AUTOMATISATION\01_REPORTING_MENSUEL\01_DONNEES_FICTIVES\DONNEES_CORRIGEES\Ventes_2026.xlsx</t>
  </si>
  <si>
    <t>C:\Users\gaeta\Desktop\PORTEFOLIO AUTOMATISATION\01_REPORTING_MENSUEL\01_DONNEES_FICTIVES\DONNEES_CORRIGEES\Objectifs_2026.xlsx</t>
  </si>
  <si>
    <t>C:\Users\gaeta\Desktop\PORTEFOLIO AUTOMATISATION\01_REPORTING_MENSUEL\01_DONNEES_FICTIVES\DONNEES_CORRIGEES\Annulations_2026.xlsx</t>
  </si>
  <si>
    <t>C:\Users\gaeta\Desktop\PORTEFOLIO AUTOMATISATION\01_REPORTING_MENSUEL\01_DONNEES_FICTIVES\DONNEES_CORRIGEES\Referentiel_Commerciaux.xlsx</t>
  </si>
  <si>
    <t>CA_Moyen_Par_Ventes</t>
  </si>
  <si>
    <t>REPORTFLOW — PERFORMANCE COMMERCIALE | JANVIER 2026</t>
  </si>
  <si>
    <t>VOLUME VENDU</t>
  </si>
  <si>
    <t>CA NET TOTAL</t>
  </si>
  <si>
    <t>OBJECTIF TOTAL</t>
  </si>
  <si>
    <t>TAUX D'ATTEINTE</t>
  </si>
  <si>
    <t>OBJECTIFS ATTEINTS</t>
  </si>
  <si>
    <t>ATTEINTE VOLUME</t>
  </si>
  <si>
    <t>TAUX ANNULATION</t>
  </si>
  <si>
    <t>En janvier 2026, le chiffre d'affaires net atteint 36 200 €, soit 61,4% de l'objectif de 59 000 €. Le volume vendu s'établit à 23 pour un objectif de 36, soit 63,9%.</t>
  </si>
  <si>
    <t>Aucun commercial n'a atteint son objectif, un commercial est à surveiller et 4 commerciaux restent sous objectif.</t>
  </si>
  <si>
    <t>Les annulations représentent 3 900 €, soit 9,7% du chiffre d'affaires brut. Karim Benali concentre le montant le plus élevé avec 2 100 €.</t>
  </si>
  <si>
    <t>La performance globale reste sensiblement inférieure à l'objectif. La majorité des commerciaux se situe sous le seuil de surveillance et nécessite des actions ciblées.</t>
  </si>
  <si>
    <t>C:\Users\gaeta\Desktop\PORTEFOLIO AUTOMATISATION\01_REPORTING_MENSUEL\06_PRESENTATION_PROJET</t>
  </si>
  <si>
    <t>REPORTFLOW</t>
  </si>
  <si>
    <t>Automatisation du reporting commercial</t>
  </si>
  <si>
    <t>1  IMPORT DES DONNÉES</t>
  </si>
  <si>
    <t>2  CONTRÔLE &amp; ANALYSE</t>
  </si>
  <si>
    <t>3  RESTITUTION</t>
  </si>
  <si>
    <t>Workflow recommandé : Import &gt; Contrôle &gt; Synthèse &gt; Dashboard &gt; Commentaires &gt; PowerPoint</t>
  </si>
  <si>
    <t>EXEMPLE — AUTRE CHARTE GRAPHIQUE</t>
  </si>
  <si>
    <t>Même logique de reporting, avec une seconde identité visuelle pour illustrer l'adaptabilité du livrable.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</si>
</sst>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yy\ hh:mm:ss"/>
    <numFmt numFmtId="165" formatCode="#,##0.00\ \€"/>
    <numFmt numFmtId="166" formatCode="0.0%"/>
    <numFmt numFmtId="167" formatCode="#,##0\ \€"/>
    <numFmt numFmtId="168" formatCode="dd/mm/yyyy\ hh:mm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8"/>
      <color rgb="FF254061"/>
      <name val="Calibri"/>
      <family val="2"/>
      <scheme val="minor"/>
    </font>
    <font>
      <b/>
      <sz val="9"/>
      <color rgb="FF525961"/>
      <name val="Calibri"/>
      <family val="2"/>
      <scheme val="minor"/>
    </font>
    <font>
      <b/>
      <sz val="15"/>
      <color rgb="FF254061"/>
      <name val="Calibri"/>
      <family val="2"/>
      <scheme val="minor"/>
    </font>
    <font>
      <sz val="10"/>
      <color theme="1"/>
      <name val="Aptos"/>
      <family val="2"/>
    </font>
    <font>
      <b/>
      <sz val="24"/>
      <color rgb="FFFFFFFF"/>
      <name val="Aptos"/>
      <family val="2"/>
    </font>
    <font>
      <sz val="11"/>
      <color rgb="FF4A4E46"/>
      <name val="Aptos"/>
      <family val="2"/>
    </font>
    <font>
      <b/>
      <sz val="10"/>
      <color rgb="FF1F4E40"/>
      <name val="Aptos"/>
      <family val="2"/>
    </font>
    <font>
      <i/>
      <sz val="9"/>
      <color rgb="FF646464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9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54061"/>
        <bgColor indexed="64"/>
      </patternFill>
    </fill>
    <fill>
      <patternFill patternType="solid">
        <fgColor rgb="FF1F4E40"/>
        <bgColor indexed="64"/>
      </patternFill>
    </fill>
    <fill>
      <patternFill patternType="solid">
        <fgColor rgb="FFEEEAE2"/>
        <bgColor indexed="64"/>
      </patternFill>
    </fill>
    <fill>
      <patternFill patternType="solid">
        <fgColor rgb="FFFAF8F2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rgb="FFD6DBE1"/>
      </left>
      <right style="thin">
        <color rgb="FFD6DBE1"/>
      </right>
      <top style="thin">
        <color rgb="FFD6DBE1"/>
      </top>
      <bottom style="thin">
        <color rgb="FFD6DBE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0" xfId="0" applyFont="1"/>
    <xf numFmtId="22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0" borderId="2" xfId="0" applyBorder="1"/>
    <xf numFmtId="0" fontId="0" fillId="0" borderId="3" xfId="0" applyBorder="1"/>
    <xf numFmtId="0" fontId="0" fillId="3" borderId="1" xfId="0" applyFill="1" applyBorder="1"/>
    <xf numFmtId="14" fontId="0" fillId="3" borderId="5" xfId="0" applyNumberFormat="1" applyFill="1" applyBorder="1"/>
    <xf numFmtId="0" fontId="0" fillId="3" borderId="4" xfId="0" applyFill="1" applyBorder="1"/>
    <xf numFmtId="0" fontId="0" fillId="3" borderId="6" xfId="0" applyFill="1" applyBorder="1"/>
    <xf numFmtId="14" fontId="0" fillId="0" borderId="5" xfId="0" applyNumberFormat="1" applyBorder="1"/>
    <xf numFmtId="0" fontId="0" fillId="0" borderId="4" xfId="0" applyBorder="1"/>
    <xf numFmtId="0" fontId="0" fillId="0" borderId="6" xfId="0" applyBorder="1"/>
    <xf numFmtId="14" fontId="0" fillId="0" borderId="1" xfId="0" applyNumberFormat="1" applyBorder="1"/>
    <xf numFmtId="14" fontId="0" fillId="3" borderId="4" xfId="0" applyNumberFormat="1" applyFill="1" applyBorder="1"/>
    <xf numFmtId="14" fontId="0" fillId="0" borderId="4" xfId="0" applyNumberFormat="1" applyBorder="1"/>
    <xf numFmtId="0" fontId="1" fillId="2" borderId="0" xfId="0" applyFont="1" applyFill="1"/>
    <xf numFmtId="14" fontId="0" fillId="3" borderId="2" xfId="0" applyNumberFormat="1" applyFill="1" applyBorder="1"/>
    <xf numFmtId="0" fontId="0" fillId="3" borderId="5" xfId="0" applyFill="1" applyBorder="1"/>
    <xf numFmtId="0" fontId="0" fillId="0" borderId="5" xfId="0" applyBorder="1"/>
    <xf numFmtId="0" fontId="3" fillId="4" borderId="0" xfId="0" applyFont="1" applyFill="1"/>
    <xf numFmtId="0" fontId="3" fillId="4" borderId="0" xfId="0" applyFont="1" applyFill="1" applyAlignment="1">
      <alignment wrapText="1"/>
    </xf>
    <xf numFmtId="0" fontId="0" fillId="0" borderId="0" xfId="0" applyAlignment="1">
      <alignment wrapText="1"/>
    </xf>
    <xf numFmtId="164" fontId="3" fillId="4" borderId="0" xfId="0" applyNumberFormat="1" applyFont="1" applyFill="1"/>
    <xf numFmtId="164" fontId="0" fillId="0" borderId="0" xfId="0" applyNumberFormat="1"/>
    <xf numFmtId="0" fontId="1" fillId="2" borderId="7" xfId="0" applyFont="1" applyFill="1" applyBorder="1"/>
    <xf numFmtId="0" fontId="1" fillId="2" borderId="8" xfId="0" applyFont="1" applyFill="1" applyBorder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top"/>
    </xf>
    <xf numFmtId="0" fontId="0" fillId="0" borderId="0" xfId="0" applyAlignment="1">
      <alignment vertical="top" wrapText="1"/>
    </xf>
    <xf numFmtId="14" fontId="0" fillId="0" borderId="0" xfId="0" applyNumberFormat="1"/>
    <xf numFmtId="0" fontId="6" fillId="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3" fontId="7" fillId="6" borderId="9" xfId="0" applyNumberFormat="1" applyFont="1" applyFill="1" applyBorder="1" applyAlignment="1">
      <alignment horizontal="center" vertical="center"/>
    </xf>
    <xf numFmtId="167" fontId="7" fillId="6" borderId="9" xfId="0" applyNumberFormat="1" applyFont="1" applyFill="1" applyBorder="1" applyAlignment="1">
      <alignment horizontal="center" vertical="center"/>
    </xf>
    <xf numFmtId="166" fontId="7" fillId="6" borderId="9" xfId="0" applyNumberFormat="1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1" fontId="9" fillId="7" borderId="9" xfId="0" applyNumberFormat="1" applyFont="1" applyFill="1" applyBorder="1" applyAlignment="1">
      <alignment horizontal="center" vertical="center"/>
    </xf>
    <xf numFmtId="166" fontId="9" fillId="7" borderId="9" xfId="0" applyNumberFormat="1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168" fontId="0" fillId="0" borderId="0" xfId="0" applyNumberFormat="1"/>
    <xf numFmtId="0" fontId="10" fillId="0" borderId="0" xfId="0" applyFont="1"/>
    <xf numFmtId="0" fontId="11" fillId="9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center" vertical="center" wrapText="1"/>
    </xf>
  </cellXfs>
  <cellStyles count="1">
    <cellStyle name="Normal" xfId="0" builtinId="0"/>
  </cellStyles>
  <dxfs count="2">
    <dxf>
      <alignment horizontal="general" vertical="top" textRotation="0" wrapText="1" indent="0" justifyLastLine="0" shrinkToFit="0" readingOrder="0"/>
    </dxf>
    <dxf>
      <font>
        <b/>
      </font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0F37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404040"/>
                </a:solidFill>
                <a:latin typeface="Aptos"/>
                <a:ea typeface="Aptos"/>
                <a:cs typeface="Aptos"/>
              </a:defRPr>
            </a:pPr>
            <a:r>
              <a:rPr lang="fr-FR"/>
              <a:t>CA NET VS OBJECTIF — 5 COMMERCIAUX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CA Net</c:v>
          </c:tx>
          <c:spPr>
            <a:solidFill>
              <a:srgbClr val="254061"/>
            </a:solidFill>
            <a:ln>
              <a:solidFill>
                <a:srgbClr val="254061"/>
              </a:solidFill>
            </a:ln>
          </c:spPr>
          <c:invertIfNegative val="0"/>
          <c:cat>
            <c:strRef>
              <c:f>DASHBOARD!$S$2:$S$6</c:f>
              <c:strCache>
                <c:ptCount val="5"/>
                <c:pt idx="0">
                  <c:v>Julie Moreau</c:v>
                </c:pt>
                <c:pt idx="1">
                  <c:v>Sophie Bernard</c:v>
                </c:pt>
                <c:pt idx="2">
                  <c:v>Thomas Leroy</c:v>
                </c:pt>
                <c:pt idx="3">
                  <c:v>Alice Martin</c:v>
                </c:pt>
                <c:pt idx="4">
                  <c:v>Karim Benali</c:v>
                </c:pt>
              </c:strCache>
            </c:strRef>
          </c:cat>
          <c:val>
            <c:numRef>
              <c:f>DASHBOARD!$T$2:$T$6</c:f>
              <c:numCache>
                <c:formatCode>General</c:formatCode>
                <c:ptCount val="5"/>
                <c:pt idx="0">
                  <c:v>10600</c:v>
                </c:pt>
                <c:pt idx="1">
                  <c:v>9000</c:v>
                </c:pt>
                <c:pt idx="2">
                  <c:v>6800</c:v>
                </c:pt>
                <c:pt idx="3">
                  <c:v>5000</c:v>
                </c:pt>
                <c:pt idx="4">
                  <c:v>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08-403B-A1A1-53FF5341F608}"/>
            </c:ext>
          </c:extLst>
        </c:ser>
        <c:ser>
          <c:idx val="1"/>
          <c:order val="1"/>
          <c:tx>
            <c:v>Objectif</c:v>
          </c:tx>
          <c:spPr>
            <a:solidFill>
              <a:srgbClr val="A6AEB8"/>
            </a:solidFill>
            <a:ln>
              <a:solidFill>
                <a:srgbClr val="A6AEB8"/>
              </a:solidFill>
            </a:ln>
          </c:spPr>
          <c:invertIfNegative val="0"/>
          <c:cat>
            <c:strRef>
              <c:f>DASHBOARD!$S$2:$S$6</c:f>
              <c:strCache>
                <c:ptCount val="5"/>
                <c:pt idx="0">
                  <c:v>Julie Moreau</c:v>
                </c:pt>
                <c:pt idx="1">
                  <c:v>Sophie Bernard</c:v>
                </c:pt>
                <c:pt idx="2">
                  <c:v>Thomas Leroy</c:v>
                </c:pt>
                <c:pt idx="3">
                  <c:v>Alice Martin</c:v>
                </c:pt>
                <c:pt idx="4">
                  <c:v>Karim Benali</c:v>
                </c:pt>
              </c:strCache>
            </c:strRef>
          </c:cat>
          <c:val>
            <c:numRef>
              <c:f>DASHBOARD!$U$2:$U$6</c:f>
              <c:numCache>
                <c:formatCode>General</c:formatCode>
                <c:ptCount val="5"/>
                <c:pt idx="0">
                  <c:v>12500</c:v>
                </c:pt>
                <c:pt idx="1">
                  <c:v>13500</c:v>
                </c:pt>
                <c:pt idx="2">
                  <c:v>10000</c:v>
                </c:pt>
                <c:pt idx="3">
                  <c:v>12000</c:v>
                </c:pt>
                <c:pt idx="4">
                  <c:v>11000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08-403B-A1A1-53FF534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1396701312"/>
        <c:axId val="1498693568"/>
      </c:barChart>
      <c:catAx>
        <c:axId val="13967013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525961"/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1498693568"/>
        <c:crosses val="autoZero"/>
        <c:auto val="1"/>
        <c:lblAlgn val="ctr"/>
        <c:lblOffset val="100"/>
        <c:noMultiLvlLbl val="0"/>
      </c:catAx>
      <c:valAx>
        <c:axId val="1498693568"/>
        <c:scaling>
          <c:orientation val="minMax"/>
        </c:scaling>
        <c:delete val="0"/>
        <c:axPos val="b"/>
        <c:majorGridlines>
          <c:spPr>
            <a:ln>
              <a:solidFill>
                <a:srgbClr val="E8EBEF"/>
              </a:solidFill>
            </a:ln>
          </c:spPr>
        </c:majorGridlines>
        <c:numFmt formatCode="#,##0\ \€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525961"/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1396701312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6DBE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404040"/>
                </a:solidFill>
                <a:latin typeface="Aptos"/>
                <a:ea typeface="Aptos"/>
                <a:cs typeface="Aptos"/>
              </a:defRPr>
            </a:pPr>
            <a:r>
              <a:rPr lang="fr-FR"/>
              <a:t>TAUX D'ATTEINTE — 5 COMMERCIAUX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Taux d'atteinte</c:v>
          </c:tx>
          <c:spPr>
            <a:solidFill>
              <a:srgbClr val="4E6A87"/>
            </a:solidFill>
            <a:ln>
              <a:solidFill>
                <a:srgbClr val="4E6A87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fr-FR"/>
                      <a:t>41,7%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377-4306-A58E-8332BAE22A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fr-FR"/>
                      <a:t>43,6%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377-4306-A58E-8332BAE22A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fr-FR"/>
                      <a:t>66,7%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377-4306-A58E-8332BAE22A7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fr-FR"/>
                      <a:t>68,0%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377-4306-A58E-8332BAE22A7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fr-FR"/>
                      <a:t>84,8%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9377-4306-A58E-8332BAE22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DASHBOARD!$W$2:$W$6</c:f>
              <c:strCache>
                <c:ptCount val="5"/>
                <c:pt idx="0">
                  <c:v>Alice Martin</c:v>
                </c:pt>
                <c:pt idx="1">
                  <c:v>Karim Benali</c:v>
                </c:pt>
                <c:pt idx="2">
                  <c:v>Sophie Bernard</c:v>
                </c:pt>
                <c:pt idx="3">
                  <c:v>Thomas Leroy</c:v>
                </c:pt>
                <c:pt idx="4">
                  <c:v>Julie Moreau</c:v>
                </c:pt>
              </c:strCache>
            </c:strRef>
          </c:cat>
          <c:val>
            <c:numRef>
              <c:f>DASHBOARD!$X$2:$X$6</c:f>
              <c:numCache>
                <c:formatCode>General</c:formatCode>
                <c:ptCount val="5"/>
                <c:pt idx="0">
                  <c:v>0.41666666666666669</c:v>
                </c:pt>
                <c:pt idx="1">
                  <c:v>0.43636363636363634</c:v>
                </c:pt>
                <c:pt idx="2">
                  <c:v>0.66666666666666663</c:v>
                </c:pt>
                <c:pt idx="3">
                  <c:v>0.68</c:v>
                </c:pt>
                <c:pt idx="4">
                  <c:v>0.84799999999999998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7-4306-A58E-8332BAE2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9360640"/>
        <c:axId val="1498694048"/>
      </c:barChart>
      <c:catAx>
        <c:axId val="1389360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525961"/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1498694048"/>
        <c:crosses val="autoZero"/>
        <c:auto val="1"/>
        <c:lblAlgn val="ctr"/>
        <c:lblOffset val="100"/>
        <c:noMultiLvlLbl val="0"/>
      </c:catAx>
      <c:valAx>
        <c:axId val="1498694048"/>
        <c:scaling>
          <c:orientation val="minMax"/>
          <c:max val="1"/>
          <c:min val="0"/>
        </c:scaling>
        <c:delete val="0"/>
        <c:axPos val="b"/>
        <c:majorGridlines>
          <c:spPr>
            <a:ln>
              <a:solidFill>
                <a:srgbClr val="E8EBEF"/>
              </a:solidFill>
            </a:ln>
          </c:spPr>
        </c:majorGridlines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525961"/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1389360640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6DBE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404040"/>
                </a:solidFill>
                <a:latin typeface="Aptos"/>
                <a:ea typeface="Aptos"/>
                <a:cs typeface="Aptos"/>
              </a:defRPr>
            </a:pPr>
            <a:r>
              <a:rPr lang="fr-FR"/>
              <a:t>ANNULATIONS — 5 COMMERCIAUX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Annulations</c:v>
          </c:tx>
          <c:spPr>
            <a:solidFill>
              <a:srgbClr val="254061"/>
            </a:solidFill>
            <a:ln>
              <a:solidFill>
                <a:srgbClr val="254061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fr-FR"/>
                      <a:t>2 100 €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164-4B5E-B0CC-AA03825697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fr-FR"/>
                      <a:t>1 200 €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164-4B5E-B0CC-AA03825697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fr-FR"/>
                      <a:t> 600 €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164-4B5E-B0CC-AA03825697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fr-FR"/>
                      <a:t>0 €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164-4B5E-B0CC-AA03825697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fr-FR"/>
                      <a:t>0 €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164-4B5E-B0CC-AA03825697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DASHBOARD!$Z$2:$Z$6</c:f>
              <c:strCache>
                <c:ptCount val="5"/>
                <c:pt idx="0">
                  <c:v>Karim Benali</c:v>
                </c:pt>
                <c:pt idx="1">
                  <c:v>Sophie Bernard</c:v>
                </c:pt>
                <c:pt idx="2">
                  <c:v>Alice Martin</c:v>
                </c:pt>
                <c:pt idx="3">
                  <c:v>Thomas Leroy</c:v>
                </c:pt>
                <c:pt idx="4">
                  <c:v>Julie Moreau</c:v>
                </c:pt>
              </c:strCache>
            </c:strRef>
          </c:cat>
          <c:val>
            <c:numRef>
              <c:f>DASHBOARD!$AA$2:$AA$6</c:f>
              <c:numCache>
                <c:formatCode>General</c:formatCode>
                <c:ptCount val="5"/>
                <c:pt idx="0">
                  <c:v>2100</c:v>
                </c:pt>
                <c:pt idx="1">
                  <c:v>1200</c:v>
                </c:pt>
                <c:pt idx="2">
                  <c:v>600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4-4B5E-B0CC-AA0382569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6700848"/>
        <c:axId val="1498696928"/>
      </c:barChart>
      <c:catAx>
        <c:axId val="13967008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525961"/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1498696928"/>
        <c:crosses val="autoZero"/>
        <c:auto val="1"/>
        <c:lblAlgn val="ctr"/>
        <c:lblOffset val="100"/>
        <c:noMultiLvlLbl val="0"/>
      </c:catAx>
      <c:valAx>
        <c:axId val="149869692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E8EBEF"/>
              </a:solidFill>
            </a:ln>
          </c:spPr>
        </c:majorGridlines>
        <c:numFmt formatCode="#\ ##0\ &quot;€&quot;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rgbClr val="525961"/>
                </a:solidFill>
                <a:latin typeface="Aptos"/>
                <a:ea typeface="Aptos"/>
                <a:cs typeface="Aptos"/>
              </a:defRPr>
            </a:pPr>
            <a:endParaRPr lang="fr-FR"/>
          </a:p>
        </c:txPr>
        <c:crossAx val="139670084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6DBE1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50799</xdr:rowOff>
    </xdr:from>
    <xdr:to>
      <xdr:col>2</xdr:col>
      <xdr:colOff>930275</xdr:colOff>
      <xdr:row>9</xdr:row>
      <xdr:rowOff>257174</xdr:rowOff>
    </xdr:to>
    <xdr:sp macro="[0]!ImporterVentes" textlink="">
      <xdr:nvSpPr>
        <xdr:cNvPr id="7" name="btn_ImporterVentes">
          <a:extLst>
            <a:ext uri="{FF2B5EF4-FFF2-40B4-BE49-F238E27FC236}">
              <a16:creationId xmlns:a16="http://schemas.microsoft.com/office/drawing/2014/main" id="{40EBFC80-0D83-DC39-A97F-D5A23192041A}"/>
            </a:ext>
          </a:extLst>
        </xdr:cNvPr>
        <xdr:cNvSpPr/>
      </xdr:nvSpPr>
      <xdr:spPr>
        <a:xfrm>
          <a:off x="298450" y="1727199"/>
          <a:ext cx="1860550" cy="835025"/>
        </a:xfrm>
        <a:prstGeom prst="roundRect">
          <a:avLst/>
        </a:prstGeom>
        <a:solidFill>
          <a:srgbClr val="5B755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Aptos" panose="020B0004020202020204" pitchFamily="34" charset="0"/>
            </a:rPr>
            <a:t>Importer les ventes</a:t>
          </a:r>
        </a:p>
      </xdr:txBody>
    </xdr:sp>
    <xdr:clientData/>
  </xdr:twoCellAnchor>
  <xdr:twoCellAnchor>
    <xdr:from>
      <xdr:col>1</xdr:col>
      <xdr:colOff>50800</xdr:colOff>
      <xdr:row>10</xdr:row>
      <xdr:rowOff>50799</xdr:rowOff>
    </xdr:from>
    <xdr:to>
      <xdr:col>2</xdr:col>
      <xdr:colOff>930275</xdr:colOff>
      <xdr:row>12</xdr:row>
      <xdr:rowOff>257174</xdr:rowOff>
    </xdr:to>
    <xdr:sp macro="[0]!ImporterObjectifs" textlink="">
      <xdr:nvSpPr>
        <xdr:cNvPr id="13" name="btn_ImporterObjectifs">
          <a:extLst>
            <a:ext uri="{FF2B5EF4-FFF2-40B4-BE49-F238E27FC236}">
              <a16:creationId xmlns:a16="http://schemas.microsoft.com/office/drawing/2014/main" id="{850CB4C4-A163-C7B8-29F4-CDA19503502B}"/>
            </a:ext>
          </a:extLst>
        </xdr:cNvPr>
        <xdr:cNvSpPr/>
      </xdr:nvSpPr>
      <xdr:spPr>
        <a:xfrm>
          <a:off x="298450" y="2670174"/>
          <a:ext cx="1860550" cy="835025"/>
        </a:xfrm>
        <a:prstGeom prst="roundRect">
          <a:avLst/>
        </a:prstGeom>
        <a:solidFill>
          <a:srgbClr val="5B755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Aptos" panose="020B0004020202020204" pitchFamily="34" charset="0"/>
            </a:rPr>
            <a:t>Importer les objectifs</a:t>
          </a:r>
        </a:p>
      </xdr:txBody>
    </xdr:sp>
    <xdr:clientData/>
  </xdr:twoCellAnchor>
  <xdr:twoCellAnchor>
    <xdr:from>
      <xdr:col>1</xdr:col>
      <xdr:colOff>50800</xdr:colOff>
      <xdr:row>13</xdr:row>
      <xdr:rowOff>31749</xdr:rowOff>
    </xdr:from>
    <xdr:to>
      <xdr:col>2</xdr:col>
      <xdr:colOff>930275</xdr:colOff>
      <xdr:row>15</xdr:row>
      <xdr:rowOff>238124</xdr:rowOff>
    </xdr:to>
    <xdr:sp macro="[0]!ImporterAnnulations" textlink="">
      <xdr:nvSpPr>
        <xdr:cNvPr id="14" name="btn_ImporterAnnulations">
          <a:extLst>
            <a:ext uri="{FF2B5EF4-FFF2-40B4-BE49-F238E27FC236}">
              <a16:creationId xmlns:a16="http://schemas.microsoft.com/office/drawing/2014/main" id="{4191A57A-F212-1C6C-A770-81113F8E6DE6}"/>
            </a:ext>
          </a:extLst>
        </xdr:cNvPr>
        <xdr:cNvSpPr/>
      </xdr:nvSpPr>
      <xdr:spPr>
        <a:xfrm>
          <a:off x="298450" y="3594099"/>
          <a:ext cx="1860550" cy="835025"/>
        </a:xfrm>
        <a:prstGeom prst="roundRect">
          <a:avLst/>
        </a:prstGeom>
        <a:solidFill>
          <a:srgbClr val="5B755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Aptos" panose="020B0004020202020204" pitchFamily="34" charset="0"/>
            </a:rPr>
            <a:t>Importer les annulations</a:t>
          </a:r>
        </a:p>
      </xdr:txBody>
    </xdr:sp>
    <xdr:clientData/>
  </xdr:twoCellAnchor>
  <xdr:twoCellAnchor>
    <xdr:from>
      <xdr:col>1</xdr:col>
      <xdr:colOff>41275</xdr:colOff>
      <xdr:row>16</xdr:row>
      <xdr:rowOff>60324</xdr:rowOff>
    </xdr:from>
    <xdr:to>
      <xdr:col>2</xdr:col>
      <xdr:colOff>920750</xdr:colOff>
      <xdr:row>18</xdr:row>
      <xdr:rowOff>266699</xdr:rowOff>
    </xdr:to>
    <xdr:sp macro="[0]!ImporterCommerciaux" textlink="">
      <xdr:nvSpPr>
        <xdr:cNvPr id="15" name="btn_ImporterCommerciaux">
          <a:extLst>
            <a:ext uri="{FF2B5EF4-FFF2-40B4-BE49-F238E27FC236}">
              <a16:creationId xmlns:a16="http://schemas.microsoft.com/office/drawing/2014/main" id="{78551F12-EB30-9349-FE74-3F611E46ED4A}"/>
            </a:ext>
          </a:extLst>
        </xdr:cNvPr>
        <xdr:cNvSpPr/>
      </xdr:nvSpPr>
      <xdr:spPr>
        <a:xfrm>
          <a:off x="288925" y="4565649"/>
          <a:ext cx="1860550" cy="835025"/>
        </a:xfrm>
        <a:prstGeom prst="roundRect">
          <a:avLst/>
        </a:prstGeom>
        <a:solidFill>
          <a:srgbClr val="5B755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Aptos" panose="020B0004020202020204" pitchFamily="34" charset="0"/>
            </a:rPr>
            <a:t>Importer les commerciaux</a:t>
          </a:r>
        </a:p>
      </xdr:txBody>
    </xdr:sp>
    <xdr:clientData/>
  </xdr:twoCellAnchor>
  <xdr:twoCellAnchor>
    <xdr:from>
      <xdr:col>4</xdr:col>
      <xdr:colOff>50800</xdr:colOff>
      <xdr:row>7</xdr:row>
      <xdr:rowOff>50800</xdr:rowOff>
    </xdr:from>
    <xdr:to>
      <xdr:col>5</xdr:col>
      <xdr:colOff>930275</xdr:colOff>
      <xdr:row>9</xdr:row>
      <xdr:rowOff>263525</xdr:rowOff>
    </xdr:to>
    <xdr:sp macro="[0]!ControlerToutesLesDonnees" textlink="">
      <xdr:nvSpPr>
        <xdr:cNvPr id="17" name="btn_ControlerToutesLesDonnees">
          <a:extLst>
            <a:ext uri="{FF2B5EF4-FFF2-40B4-BE49-F238E27FC236}">
              <a16:creationId xmlns:a16="http://schemas.microsoft.com/office/drawing/2014/main" id="{9F26E7E4-0FA6-89F6-2CAE-A2AC05654B07}"/>
            </a:ext>
          </a:extLst>
        </xdr:cNvPr>
        <xdr:cNvSpPr/>
      </xdr:nvSpPr>
      <xdr:spPr>
        <a:xfrm>
          <a:off x="2574925" y="2365375"/>
          <a:ext cx="1860550" cy="841375"/>
        </a:xfrm>
        <a:prstGeom prst="roundRect">
          <a:avLst/>
        </a:prstGeom>
        <a:solidFill>
          <a:srgbClr val="1F4E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Aptos" panose="020B0004020202020204" pitchFamily="34" charset="0"/>
            </a:rPr>
            <a:t>Contrôler les données</a:t>
          </a:r>
        </a:p>
      </xdr:txBody>
    </xdr:sp>
    <xdr:clientData/>
  </xdr:twoCellAnchor>
  <xdr:twoCellAnchor>
    <xdr:from>
      <xdr:col>4</xdr:col>
      <xdr:colOff>50800</xdr:colOff>
      <xdr:row>11</xdr:row>
      <xdr:rowOff>50800</xdr:rowOff>
    </xdr:from>
    <xdr:to>
      <xdr:col>5</xdr:col>
      <xdr:colOff>930275</xdr:colOff>
      <xdr:row>13</xdr:row>
      <xdr:rowOff>263525</xdr:rowOff>
    </xdr:to>
    <xdr:sp macro="[0]!GenererSyntheseCommerciale" textlink="">
      <xdr:nvSpPr>
        <xdr:cNvPr id="18" name="btn_GenererSyntheseCommerciale">
          <a:extLst>
            <a:ext uri="{FF2B5EF4-FFF2-40B4-BE49-F238E27FC236}">
              <a16:creationId xmlns:a16="http://schemas.microsoft.com/office/drawing/2014/main" id="{D1FF7575-46A7-2307-DDB1-DA523C372611}"/>
            </a:ext>
          </a:extLst>
        </xdr:cNvPr>
        <xdr:cNvSpPr/>
      </xdr:nvSpPr>
      <xdr:spPr>
        <a:xfrm>
          <a:off x="2574925" y="3622675"/>
          <a:ext cx="1860550" cy="841375"/>
        </a:xfrm>
        <a:prstGeom prst="roundRect">
          <a:avLst/>
        </a:prstGeom>
        <a:solidFill>
          <a:srgbClr val="5B755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Aptos" panose="020B0004020202020204" pitchFamily="34" charset="0"/>
            </a:rPr>
            <a:t>Générer la synthèse</a:t>
          </a:r>
        </a:p>
      </xdr:txBody>
    </xdr:sp>
    <xdr:clientData/>
  </xdr:twoCellAnchor>
  <xdr:twoCellAnchor>
    <xdr:from>
      <xdr:col>4</xdr:col>
      <xdr:colOff>50800</xdr:colOff>
      <xdr:row>15</xdr:row>
      <xdr:rowOff>50800</xdr:rowOff>
    </xdr:from>
    <xdr:to>
      <xdr:col>5</xdr:col>
      <xdr:colOff>930275</xdr:colOff>
      <xdr:row>17</xdr:row>
      <xdr:rowOff>263525</xdr:rowOff>
    </xdr:to>
    <xdr:sp macro="[0]!MOD_DASHBOARD.GenererDashboard" textlink="">
      <xdr:nvSpPr>
        <xdr:cNvPr id="19" name="btn_GenererDashboard">
          <a:extLst>
            <a:ext uri="{FF2B5EF4-FFF2-40B4-BE49-F238E27FC236}">
              <a16:creationId xmlns:a16="http://schemas.microsoft.com/office/drawing/2014/main" id="{01CEE283-FA4E-DA4F-487C-0621FC383E36}"/>
            </a:ext>
          </a:extLst>
        </xdr:cNvPr>
        <xdr:cNvSpPr/>
      </xdr:nvSpPr>
      <xdr:spPr>
        <a:xfrm>
          <a:off x="2574925" y="4241800"/>
          <a:ext cx="1860550" cy="841375"/>
        </a:xfrm>
        <a:prstGeom prst="roundRect">
          <a:avLst/>
        </a:prstGeom>
        <a:solidFill>
          <a:srgbClr val="5B755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Aptos" panose="020B0004020202020204" pitchFamily="34" charset="0"/>
            </a:rPr>
            <a:t>Générer le dashboard</a:t>
          </a:r>
        </a:p>
      </xdr:txBody>
    </xdr:sp>
    <xdr:clientData/>
  </xdr:twoCellAnchor>
  <xdr:twoCellAnchor>
    <xdr:from>
      <xdr:col>7</xdr:col>
      <xdr:colOff>50800</xdr:colOff>
      <xdr:row>7</xdr:row>
      <xdr:rowOff>50800</xdr:rowOff>
    </xdr:from>
    <xdr:to>
      <xdr:col>8</xdr:col>
      <xdr:colOff>930275</xdr:colOff>
      <xdr:row>9</xdr:row>
      <xdr:rowOff>263525</xdr:rowOff>
    </xdr:to>
    <xdr:sp macro="[0]!GenererCommentaires" textlink="">
      <xdr:nvSpPr>
        <xdr:cNvPr id="20" name="btn_GenererCommentaires">
          <a:extLst>
            <a:ext uri="{FF2B5EF4-FFF2-40B4-BE49-F238E27FC236}">
              <a16:creationId xmlns:a16="http://schemas.microsoft.com/office/drawing/2014/main" id="{04E72AF0-BFA6-B40F-6BA6-28FFE45C3A62}"/>
            </a:ext>
          </a:extLst>
        </xdr:cNvPr>
        <xdr:cNvSpPr/>
      </xdr:nvSpPr>
      <xdr:spPr>
        <a:xfrm>
          <a:off x="4851400" y="2365375"/>
          <a:ext cx="1860550" cy="841375"/>
        </a:xfrm>
        <a:prstGeom prst="roundRect">
          <a:avLst/>
        </a:prstGeom>
        <a:solidFill>
          <a:srgbClr val="5B755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Aptos" panose="020B0004020202020204" pitchFamily="34" charset="0"/>
            </a:rPr>
            <a:t>Générer les commentaires</a:t>
          </a:r>
        </a:p>
      </xdr:txBody>
    </xdr:sp>
    <xdr:clientData/>
  </xdr:twoCellAnchor>
  <xdr:twoCellAnchor>
    <xdr:from>
      <xdr:col>7</xdr:col>
      <xdr:colOff>50800</xdr:colOff>
      <xdr:row>11</xdr:row>
      <xdr:rowOff>50800</xdr:rowOff>
    </xdr:from>
    <xdr:to>
      <xdr:col>8</xdr:col>
      <xdr:colOff>930275</xdr:colOff>
      <xdr:row>14</xdr:row>
      <xdr:rowOff>263525</xdr:rowOff>
    </xdr:to>
    <xdr:sp macro="[0]!MOD_POWERPOINT.GenererPowerPoint" textlink="">
      <xdr:nvSpPr>
        <xdr:cNvPr id="21" name="btn_GenererPowerPoint">
          <a:extLst>
            <a:ext uri="{FF2B5EF4-FFF2-40B4-BE49-F238E27FC236}">
              <a16:creationId xmlns:a16="http://schemas.microsoft.com/office/drawing/2014/main" id="{E4F12A49-9607-F762-4807-B7A643DB3373}"/>
            </a:ext>
          </a:extLst>
        </xdr:cNvPr>
        <xdr:cNvSpPr/>
      </xdr:nvSpPr>
      <xdr:spPr>
        <a:xfrm>
          <a:off x="4851400" y="3622675"/>
          <a:ext cx="1860550" cy="1155700"/>
        </a:xfrm>
        <a:prstGeom prst="roundRect">
          <a:avLst/>
        </a:prstGeom>
        <a:solidFill>
          <a:srgbClr val="1F4E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Aptos" panose="020B0004020202020204" pitchFamily="34" charset="0"/>
            </a:rPr>
            <a:t>GÉNÉRER LE POWERPOINT</a:t>
          </a:r>
        </a:p>
      </xdr:txBody>
    </xdr:sp>
    <xdr:clientData/>
  </xdr:twoCellAnchor>
  <xdr:twoCellAnchor>
    <xdr:from>
      <xdr:col>7</xdr:col>
      <xdr:colOff>50800</xdr:colOff>
      <xdr:row>16</xdr:row>
      <xdr:rowOff>50800</xdr:rowOff>
    </xdr:from>
    <xdr:to>
      <xdr:col>8</xdr:col>
      <xdr:colOff>930275</xdr:colOff>
      <xdr:row>18</xdr:row>
      <xdr:rowOff>263525</xdr:rowOff>
    </xdr:to>
    <xdr:sp macro="[0]!OuvrirAnomalies" textlink="">
      <xdr:nvSpPr>
        <xdr:cNvPr id="22" name="btn_OuvrirAnomalies">
          <a:extLst>
            <a:ext uri="{FF2B5EF4-FFF2-40B4-BE49-F238E27FC236}">
              <a16:creationId xmlns:a16="http://schemas.microsoft.com/office/drawing/2014/main" id="{8F878FE2-839D-0721-A28F-3C8BD4A4D386}"/>
            </a:ext>
          </a:extLst>
        </xdr:cNvPr>
        <xdr:cNvSpPr/>
      </xdr:nvSpPr>
      <xdr:spPr>
        <a:xfrm>
          <a:off x="4851400" y="5194300"/>
          <a:ext cx="1860550" cy="841375"/>
        </a:xfrm>
        <a:prstGeom prst="roundRect">
          <a:avLst/>
        </a:prstGeom>
        <a:solidFill>
          <a:srgbClr val="B8B2A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Aptos" panose="020B0004020202020204" pitchFamily="34" charset="0"/>
            </a:rPr>
            <a:t>Voir les anomalies</a:t>
          </a:r>
        </a:p>
      </xdr:txBody>
    </xdr:sp>
    <xdr:clientData/>
  </xdr:twoCellAnchor>
  <xdr:twoCellAnchor>
    <xdr:from>
      <xdr:col>1</xdr:col>
      <xdr:colOff>63500</xdr:colOff>
      <xdr:row>19</xdr:row>
      <xdr:rowOff>63500</xdr:rowOff>
    </xdr:from>
    <xdr:to>
      <xdr:col>2</xdr:col>
      <xdr:colOff>917575</xdr:colOff>
      <xdr:row>20</xdr:row>
      <xdr:rowOff>250825</xdr:rowOff>
    </xdr:to>
    <xdr:sp macro="[0]!OuvrirParametres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E9518883-DDBF-70DD-9B56-CF620CD017D3}"/>
            </a:ext>
          </a:extLst>
        </xdr:cNvPr>
        <xdr:cNvSpPr/>
      </xdr:nvSpPr>
      <xdr:spPr>
        <a:xfrm>
          <a:off x="311150" y="6464300"/>
          <a:ext cx="1835150" cy="501650"/>
        </a:xfrm>
        <a:prstGeom prst="roundRect">
          <a:avLst/>
        </a:prstGeom>
        <a:solidFill>
          <a:srgbClr val="FAF8F2"/>
        </a:solidFill>
        <a:ln w="12700">
          <a:solidFill>
            <a:srgbClr val="BFD2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rgbClr val="1F4E40"/>
              </a:solidFill>
              <a:latin typeface="Aptos" panose="020B0004020202020204" pitchFamily="34" charset="0"/>
            </a:rPr>
            <a:t>Paramètres</a:t>
          </a:r>
        </a:p>
      </xdr:txBody>
    </xdr:sp>
    <xdr:clientData/>
  </xdr:twoCellAnchor>
  <xdr:twoCellAnchor>
    <xdr:from>
      <xdr:col>4</xdr:col>
      <xdr:colOff>63500</xdr:colOff>
      <xdr:row>19</xdr:row>
      <xdr:rowOff>63500</xdr:rowOff>
    </xdr:from>
    <xdr:to>
      <xdr:col>5</xdr:col>
      <xdr:colOff>917575</xdr:colOff>
      <xdr:row>20</xdr:row>
      <xdr:rowOff>250825</xdr:rowOff>
    </xdr:to>
    <xdr:sp macro="[0]!OuvrirSynthese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8FF7A037-4263-0759-B423-CCE3871EB0C6}"/>
            </a:ext>
          </a:extLst>
        </xdr:cNvPr>
        <xdr:cNvSpPr/>
      </xdr:nvSpPr>
      <xdr:spPr>
        <a:xfrm>
          <a:off x="2587625" y="6464300"/>
          <a:ext cx="1835150" cy="501650"/>
        </a:xfrm>
        <a:prstGeom prst="roundRect">
          <a:avLst/>
        </a:prstGeom>
        <a:solidFill>
          <a:srgbClr val="FAF8F2"/>
        </a:solidFill>
        <a:ln w="12700">
          <a:solidFill>
            <a:srgbClr val="BFD2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rgbClr val="1F4E40"/>
              </a:solidFill>
              <a:latin typeface="Aptos" panose="020B0004020202020204" pitchFamily="34" charset="0"/>
            </a:rPr>
            <a:t>Synthèse</a:t>
          </a:r>
        </a:p>
      </xdr:txBody>
    </xdr:sp>
    <xdr:clientData/>
  </xdr:twoCellAnchor>
  <xdr:twoCellAnchor>
    <xdr:from>
      <xdr:col>7</xdr:col>
      <xdr:colOff>63500</xdr:colOff>
      <xdr:row>19</xdr:row>
      <xdr:rowOff>63500</xdr:rowOff>
    </xdr:from>
    <xdr:to>
      <xdr:col>8</xdr:col>
      <xdr:colOff>917575</xdr:colOff>
      <xdr:row>20</xdr:row>
      <xdr:rowOff>250825</xdr:rowOff>
    </xdr:to>
    <xdr:sp macro="[0]!OuvrirDashboard" textlink="">
      <xdr:nvSpPr>
        <xdr:cNvPr id="25" name="Rectangle : coins arrondis 24">
          <a:extLst>
            <a:ext uri="{FF2B5EF4-FFF2-40B4-BE49-F238E27FC236}">
              <a16:creationId xmlns:a16="http://schemas.microsoft.com/office/drawing/2014/main" id="{6BCEE0D7-657F-E36E-EF81-E3B765FAA4BB}"/>
            </a:ext>
          </a:extLst>
        </xdr:cNvPr>
        <xdr:cNvSpPr/>
      </xdr:nvSpPr>
      <xdr:spPr>
        <a:xfrm>
          <a:off x="4864100" y="6464300"/>
          <a:ext cx="1835150" cy="501650"/>
        </a:xfrm>
        <a:prstGeom prst="roundRect">
          <a:avLst/>
        </a:prstGeom>
        <a:solidFill>
          <a:srgbClr val="FAF8F2"/>
        </a:solidFill>
        <a:ln w="12700">
          <a:solidFill>
            <a:srgbClr val="BFD2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rgbClr val="1F4E40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  <xdr:twoCellAnchor>
    <xdr:from>
      <xdr:col>2</xdr:col>
      <xdr:colOff>50800</xdr:colOff>
      <xdr:row>27</xdr:row>
      <xdr:rowOff>50800</xdr:rowOff>
    </xdr:from>
    <xdr:to>
      <xdr:col>4</xdr:col>
      <xdr:colOff>930275</xdr:colOff>
      <xdr:row>29</xdr:row>
      <xdr:rowOff>120650</xdr:rowOff>
    </xdr:to>
    <xdr:sp macro="[0]!MOD_DASHBOARD_V2.GenererDashboard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F5B3E356-4A0F-483E-A526-8B438DFE41A4}"/>
            </a:ext>
          </a:extLst>
        </xdr:cNvPr>
        <xdr:cNvSpPr/>
      </xdr:nvSpPr>
      <xdr:spPr>
        <a:xfrm>
          <a:off x="1279525" y="8356600"/>
          <a:ext cx="2174875" cy="412750"/>
        </a:xfrm>
        <a:prstGeom prst="roundRect">
          <a:avLst/>
        </a:prstGeom>
        <a:solidFill>
          <a:srgbClr val="25406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Aptos" panose="020B0004020202020204" pitchFamily="34" charset="0"/>
            </a:rPr>
            <a:t>Dashboard 2</a:t>
          </a:r>
        </a:p>
      </xdr:txBody>
    </xdr:sp>
    <xdr:clientData/>
  </xdr:twoCellAnchor>
  <xdr:twoCellAnchor>
    <xdr:from>
      <xdr:col>5</xdr:col>
      <xdr:colOff>50800</xdr:colOff>
      <xdr:row>27</xdr:row>
      <xdr:rowOff>50800</xdr:rowOff>
    </xdr:from>
    <xdr:to>
      <xdr:col>7</xdr:col>
      <xdr:colOff>930275</xdr:colOff>
      <xdr:row>29</xdr:row>
      <xdr:rowOff>120650</xdr:rowOff>
    </xdr:to>
    <xdr:sp macro="[0]!MOD_POWERPOINT_V2.GenererPowerPoint" textlink="">
      <xdr:nvSpPr>
        <xdr:cNvPr id="32" name="Rectangle : coins arrondis 31">
          <a:extLst>
            <a:ext uri="{FF2B5EF4-FFF2-40B4-BE49-F238E27FC236}">
              <a16:creationId xmlns:a16="http://schemas.microsoft.com/office/drawing/2014/main" id="{E82C3894-333D-9174-435C-412ED8C0FFCD}"/>
            </a:ext>
          </a:extLst>
        </xdr:cNvPr>
        <xdr:cNvSpPr/>
      </xdr:nvSpPr>
      <xdr:spPr>
        <a:xfrm>
          <a:off x="3556000" y="8356600"/>
          <a:ext cx="2174875" cy="412750"/>
        </a:xfrm>
        <a:prstGeom prst="roundRect">
          <a:avLst/>
        </a:prstGeom>
        <a:solidFill>
          <a:srgbClr val="25406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Aptos" panose="020B0004020202020204" pitchFamily="34" charset="0"/>
            </a:rPr>
            <a:t>PowerPoint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EB0E1D3B-7061-EE91-AF23-BE7C8A6D48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12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93CC65D8-3FE2-0F26-A400-22C41AA25C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13</xdr:col>
      <xdr:colOff>0</xdr:colOff>
      <xdr:row>39</xdr:row>
      <xdr:rowOff>0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7C428699-E4EA-7361-D518-6D14FA6A0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C973B6-1FFC-49BC-8DB7-CB94B334E45D}" name="tblCommentaires" displayName="tblCommentaires" ref="A4:B10" totalsRowShown="0">
  <autoFilter ref="A4:B10" xr:uid="{90C973B6-1FFC-49BC-8DB7-CB94B334E45D}"/>
  <tableColumns count="2">
    <tableColumn id="1" xr3:uid="{0130B2D6-7AD1-46C7-A48F-C5050343ACD0}" name="Type de commentaire" dataDxfId="1"/>
    <tableColumn id="2" xr3:uid="{9780D7F6-3C31-48EE-8433-835D95885804}" name="Commentai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I33"/>
  <sheetViews>
    <sheetView showGridLines="0" tabSelected="1" workbookViewId="0">
      <selection activeCell="O20" sqref="O20"/>
    </sheetView>
  </sheetViews>
  <sheetFormatPr baseColWidth="10" defaultColWidth="9.140625" defaultRowHeight="13.5" x14ac:dyDescent="0.25"/>
  <cols>
    <col min="1" max="1" width="3.7109375" style="47" customWidth="1"/>
    <col min="2" max="3" width="14.7109375" style="47" customWidth="1"/>
    <col min="4" max="4" width="4.7109375" style="47" customWidth="1"/>
    <col min="5" max="6" width="14.7109375" style="47" customWidth="1"/>
    <col min="7" max="7" width="4.7109375" style="47" customWidth="1"/>
    <col min="8" max="9" width="14.7109375" style="47" customWidth="1"/>
    <col min="10" max="10" width="3.7109375" style="47" customWidth="1"/>
    <col min="11" max="16384" width="9.140625" style="47"/>
  </cols>
  <sheetData>
    <row r="1" spans="2:9" ht="9" customHeight="1" x14ac:dyDescent="0.25"/>
    <row r="2" spans="2:9" ht="15" customHeight="1" x14ac:dyDescent="0.25">
      <c r="B2" s="48" t="s">
        <v>163</v>
      </c>
      <c r="C2" s="48"/>
      <c r="D2" s="48"/>
      <c r="E2" s="48"/>
      <c r="F2" s="48"/>
      <c r="G2" s="48"/>
      <c r="H2" s="48"/>
      <c r="I2" s="48"/>
    </row>
    <row r="3" spans="2:9" ht="15" customHeight="1" x14ac:dyDescent="0.25">
      <c r="B3" s="48"/>
      <c r="C3" s="48"/>
      <c r="D3" s="48"/>
      <c r="E3" s="48"/>
      <c r="F3" s="48"/>
      <c r="G3" s="48"/>
      <c r="H3" s="48"/>
      <c r="I3" s="48"/>
    </row>
    <row r="4" spans="2:9" ht="15.75" customHeight="1" x14ac:dyDescent="0.25">
      <c r="B4" s="49" t="s">
        <v>164</v>
      </c>
      <c r="C4" s="49"/>
      <c r="D4" s="49"/>
      <c r="E4" s="49"/>
      <c r="F4" s="49"/>
      <c r="G4" s="49"/>
      <c r="H4" s="49"/>
      <c r="I4" s="49"/>
    </row>
    <row r="5" spans="2:9" ht="6" customHeight="1" x14ac:dyDescent="0.25"/>
    <row r="6" spans="2:9" ht="18" customHeight="1" x14ac:dyDescent="0.25">
      <c r="B6" s="50" t="s">
        <v>165</v>
      </c>
      <c r="C6" s="50"/>
      <c r="E6" s="50" t="s">
        <v>166</v>
      </c>
      <c r="F6" s="50"/>
      <c r="H6" s="50" t="s">
        <v>167</v>
      </c>
      <c r="I6" s="50"/>
    </row>
    <row r="7" spans="2:9" ht="12" customHeight="1" x14ac:dyDescent="0.25"/>
    <row r="8" spans="2:9" ht="24.75" customHeight="1" x14ac:dyDescent="0.25"/>
    <row r="9" spans="2:9" ht="24.95" customHeight="1" x14ac:dyDescent="0.25"/>
    <row r="10" spans="2:9" ht="24.95" customHeight="1" x14ac:dyDescent="0.25"/>
    <row r="11" spans="2:9" ht="24.95" customHeight="1" x14ac:dyDescent="0.25"/>
    <row r="12" spans="2:9" ht="24.95" customHeight="1" x14ac:dyDescent="0.25"/>
    <row r="13" spans="2:9" ht="24.95" customHeight="1" x14ac:dyDescent="0.25"/>
    <row r="14" spans="2:9" ht="24.95" customHeight="1" x14ac:dyDescent="0.25"/>
    <row r="15" spans="2:9" ht="24.95" customHeight="1" x14ac:dyDescent="0.25"/>
    <row r="16" spans="2:9" ht="24.95" customHeight="1" x14ac:dyDescent="0.25"/>
    <row r="17" spans="2:9" ht="24.95" customHeight="1" x14ac:dyDescent="0.25"/>
    <row r="18" spans="2:9" ht="24.95" customHeight="1" x14ac:dyDescent="0.25"/>
    <row r="19" spans="2:9" ht="24.95" customHeight="1" x14ac:dyDescent="0.25"/>
    <row r="20" spans="2:9" ht="24.95" customHeight="1" x14ac:dyDescent="0.25"/>
    <row r="21" spans="2:9" ht="24.95" customHeight="1" x14ac:dyDescent="0.25"/>
    <row r="23" spans="2:9" x14ac:dyDescent="0.25">
      <c r="B23" s="51" t="s">
        <v>168</v>
      </c>
      <c r="C23" s="51"/>
      <c r="D23" s="51"/>
      <c r="E23" s="51"/>
      <c r="F23" s="51"/>
      <c r="G23" s="51"/>
      <c r="H23" s="51"/>
      <c r="I23" s="51"/>
    </row>
    <row r="24" spans="2:9" ht="8.25" customHeight="1" x14ac:dyDescent="0.25">
      <c r="B24" s="51"/>
      <c r="C24" s="51"/>
      <c r="D24" s="51"/>
      <c r="E24" s="51"/>
      <c r="F24" s="51"/>
      <c r="G24" s="51"/>
      <c r="H24" s="51"/>
      <c r="I24" s="51"/>
    </row>
    <row r="26" spans="2:9" x14ac:dyDescent="0.25">
      <c r="B26" s="50" t="s">
        <v>169</v>
      </c>
      <c r="C26" s="50"/>
      <c r="D26" s="50"/>
      <c r="E26" s="50"/>
      <c r="F26" s="50"/>
      <c r="G26" s="50"/>
      <c r="H26" s="50"/>
      <c r="I26" s="50"/>
    </row>
    <row r="32" spans="2:9" x14ac:dyDescent="0.25">
      <c r="B32" s="52" t="s">
        <v>170</v>
      </c>
      <c r="C32" s="52"/>
      <c r="D32" s="52"/>
      <c r="E32" s="52"/>
      <c r="F32" s="52"/>
      <c r="G32" s="52"/>
      <c r="H32" s="52"/>
      <c r="I32" s="52"/>
    </row>
    <row r="33" spans="2:9" x14ac:dyDescent="0.25">
      <c r="B33" s="52"/>
      <c r="C33" s="52"/>
      <c r="D33" s="52"/>
      <c r="E33" s="52"/>
      <c r="F33" s="52"/>
      <c r="G33" s="52"/>
      <c r="H33" s="52"/>
      <c r="I33" s="52"/>
    </row>
  </sheetData>
  <mergeCells count="8">
    <mergeCell ref="B26:I26"/>
    <mergeCell ref="B32:I33"/>
    <mergeCell ref="B2:I3"/>
    <mergeCell ref="B4:I4"/>
    <mergeCell ref="B6:C6"/>
    <mergeCell ref="E6:F6"/>
    <mergeCell ref="H6:I6"/>
    <mergeCell ref="B23:I2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A44C5-0661-4142-9875-018537662867}">
  <sheetPr codeName="Feuil2"/>
  <dimension ref="A1:B22"/>
  <sheetViews>
    <sheetView workbookViewId="0">
      <selection activeCell="A3" sqref="A3:B5"/>
    </sheetView>
  </sheetViews>
  <sheetFormatPr baseColWidth="10" defaultRowHeight="15" x14ac:dyDescent="0.25"/>
  <cols>
    <col min="1" max="1" width="29.5703125" customWidth="1"/>
    <col min="2" max="2" width="133.28515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145</v>
      </c>
    </row>
    <row r="3" spans="1:2" x14ac:dyDescent="0.25">
      <c r="A3" t="s">
        <v>3</v>
      </c>
      <c r="B3" t="s">
        <v>146</v>
      </c>
    </row>
    <row r="4" spans="1:2" x14ac:dyDescent="0.25">
      <c r="A4" t="s">
        <v>4</v>
      </c>
      <c r="B4" t="s">
        <v>147</v>
      </c>
    </row>
    <row r="5" spans="1:2" x14ac:dyDescent="0.25">
      <c r="A5" t="s">
        <v>5</v>
      </c>
      <c r="B5" t="s">
        <v>148</v>
      </c>
    </row>
    <row r="6" spans="1:2" x14ac:dyDescent="0.25">
      <c r="A6" t="s">
        <v>6</v>
      </c>
      <c r="B6" t="s">
        <v>7</v>
      </c>
    </row>
    <row r="7" spans="1:2" x14ac:dyDescent="0.25">
      <c r="A7" t="s">
        <v>8</v>
      </c>
      <c r="B7" t="s">
        <v>9</v>
      </c>
    </row>
    <row r="8" spans="1:2" x14ac:dyDescent="0.25">
      <c r="A8" t="s">
        <v>10</v>
      </c>
      <c r="B8" t="s">
        <v>11</v>
      </c>
    </row>
    <row r="9" spans="1:2" x14ac:dyDescent="0.25">
      <c r="A9" t="s">
        <v>12</v>
      </c>
      <c r="B9" t="s">
        <v>13</v>
      </c>
    </row>
    <row r="10" spans="1:2" x14ac:dyDescent="0.25">
      <c r="A10" t="s">
        <v>14</v>
      </c>
      <c r="B10" t="s">
        <v>15</v>
      </c>
    </row>
    <row r="11" spans="1:2" x14ac:dyDescent="0.25">
      <c r="A11" t="s">
        <v>16</v>
      </c>
      <c r="B11" t="s">
        <v>17</v>
      </c>
    </row>
    <row r="12" spans="1:2" x14ac:dyDescent="0.25">
      <c r="A12" t="s">
        <v>18</v>
      </c>
      <c r="B12" t="s">
        <v>19</v>
      </c>
    </row>
    <row r="13" spans="1:2" x14ac:dyDescent="0.25">
      <c r="A13" t="s">
        <v>20</v>
      </c>
      <c r="B13" t="s">
        <v>21</v>
      </c>
    </row>
    <row r="14" spans="1:2" x14ac:dyDescent="0.25">
      <c r="A14" t="s">
        <v>22</v>
      </c>
      <c r="B14" t="s">
        <v>162</v>
      </c>
    </row>
    <row r="15" spans="1:2" x14ac:dyDescent="0.25">
      <c r="A15" t="s">
        <v>23</v>
      </c>
      <c r="B15" s="25">
        <v>46272.87699074074</v>
      </c>
    </row>
    <row r="16" spans="1:2" x14ac:dyDescent="0.25">
      <c r="A16" s="28" t="s">
        <v>124</v>
      </c>
      <c r="B16" s="29">
        <v>46023</v>
      </c>
    </row>
    <row r="17" spans="1:2" x14ac:dyDescent="0.25">
      <c r="A17" s="28" t="s">
        <v>125</v>
      </c>
      <c r="B17" s="30">
        <v>1</v>
      </c>
    </row>
    <row r="18" spans="1:2" x14ac:dyDescent="0.25">
      <c r="A18" s="28" t="s">
        <v>126</v>
      </c>
      <c r="B18" s="30">
        <v>0.8</v>
      </c>
    </row>
    <row r="19" spans="1:2" x14ac:dyDescent="0.25">
      <c r="A19" s="28" t="s">
        <v>129</v>
      </c>
      <c r="B19" s="25">
        <v>46272.869768518518</v>
      </c>
    </row>
    <row r="20" spans="1:2" x14ac:dyDescent="0.25">
      <c r="A20" t="s">
        <v>140</v>
      </c>
      <c r="B20" t="s">
        <v>141</v>
      </c>
    </row>
    <row r="21" spans="1:2" x14ac:dyDescent="0.25">
      <c r="A21" s="28" t="s">
        <v>142</v>
      </c>
      <c r="B21" s="46">
        <v>46272.948229166665</v>
      </c>
    </row>
    <row r="22" spans="1:2" x14ac:dyDescent="0.25">
      <c r="A22" t="s">
        <v>143</v>
      </c>
      <c r="B22" t="s">
        <v>144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729C2-0EA8-4E36-BDCB-734A4ACB5D2B}">
  <sheetPr codeName="Feuil3"/>
  <dimension ref="A1:K12"/>
  <sheetViews>
    <sheetView workbookViewId="0">
      <selection activeCell="C38" sqref="C38"/>
    </sheetView>
  </sheetViews>
  <sheetFormatPr baseColWidth="10" defaultRowHeight="15" x14ac:dyDescent="0.25"/>
  <cols>
    <col min="1" max="1" width="11.5703125" bestFit="1" customWidth="1"/>
    <col min="2" max="2" width="11" bestFit="1" customWidth="1"/>
    <col min="3" max="3" width="14.42578125" bestFit="1" customWidth="1"/>
    <col min="4" max="4" width="9.140625" bestFit="1" customWidth="1"/>
    <col min="5" max="5" width="12.85546875" bestFit="1" customWidth="1"/>
    <col min="6" max="6" width="14.28515625" bestFit="1" customWidth="1"/>
    <col min="7" max="7" width="12.28515625" bestFit="1" customWidth="1"/>
    <col min="8" max="8" width="8.85546875" bestFit="1" customWidth="1"/>
    <col min="9" max="9" width="12.7109375" bestFit="1" customWidth="1"/>
    <col min="10" max="10" width="15.140625" bestFit="1" customWidth="1"/>
    <col min="11" max="11" width="12.7109375" bestFit="1" customWidth="1"/>
  </cols>
  <sheetData>
    <row r="1" spans="1:11" x14ac:dyDescent="0.25">
      <c r="A1" s="26" t="s">
        <v>29</v>
      </c>
      <c r="B1" s="17" t="s">
        <v>30</v>
      </c>
      <c r="C1" s="17" t="s">
        <v>25</v>
      </c>
      <c r="D1" s="17" t="s">
        <v>31</v>
      </c>
      <c r="E1" s="17" t="s">
        <v>32</v>
      </c>
      <c r="F1" s="17" t="s">
        <v>33</v>
      </c>
      <c r="G1" s="17" t="s">
        <v>34</v>
      </c>
      <c r="H1" s="17" t="s">
        <v>35</v>
      </c>
      <c r="I1" s="17" t="s">
        <v>36</v>
      </c>
      <c r="J1" s="17" t="s">
        <v>37</v>
      </c>
      <c r="K1" s="27" t="s">
        <v>38</v>
      </c>
    </row>
    <row r="2" spans="1:11" x14ac:dyDescent="0.25">
      <c r="A2" s="8">
        <v>46027</v>
      </c>
      <c r="B2" s="9" t="s">
        <v>49</v>
      </c>
      <c r="C2" s="9" t="s">
        <v>50</v>
      </c>
      <c r="D2" s="9" t="s">
        <v>51</v>
      </c>
      <c r="E2" s="9" t="s">
        <v>52</v>
      </c>
      <c r="F2" s="9" t="s">
        <v>53</v>
      </c>
      <c r="G2" s="9" t="s">
        <v>54</v>
      </c>
      <c r="H2" s="9">
        <v>2</v>
      </c>
      <c r="I2" s="9">
        <v>1200</v>
      </c>
      <c r="J2" s="9">
        <v>2400</v>
      </c>
      <c r="K2" s="10" t="s">
        <v>55</v>
      </c>
    </row>
    <row r="3" spans="1:11" x14ac:dyDescent="0.25">
      <c r="A3" s="11">
        <v>46028</v>
      </c>
      <c r="B3" s="12" t="s">
        <v>56</v>
      </c>
      <c r="C3" s="12" t="s">
        <v>57</v>
      </c>
      <c r="D3" s="12" t="s">
        <v>58</v>
      </c>
      <c r="E3" s="12" t="s">
        <v>59</v>
      </c>
      <c r="F3" s="12" t="s">
        <v>60</v>
      </c>
      <c r="G3" s="12" t="s">
        <v>61</v>
      </c>
      <c r="H3" s="12">
        <v>1</v>
      </c>
      <c r="I3" s="12">
        <v>2100</v>
      </c>
      <c r="J3" s="12">
        <v>2100</v>
      </c>
      <c r="K3" s="13" t="s">
        <v>55</v>
      </c>
    </row>
    <row r="4" spans="1:11" x14ac:dyDescent="0.25">
      <c r="A4" s="8">
        <v>46029</v>
      </c>
      <c r="B4" s="9" t="s">
        <v>62</v>
      </c>
      <c r="C4" s="9" t="s">
        <v>63</v>
      </c>
      <c r="D4" s="9" t="s">
        <v>64</v>
      </c>
      <c r="E4" s="9" t="s">
        <v>65</v>
      </c>
      <c r="F4" s="9" t="s">
        <v>66</v>
      </c>
      <c r="G4" s="9" t="s">
        <v>67</v>
      </c>
      <c r="H4" s="9">
        <v>2</v>
      </c>
      <c r="I4" s="9">
        <v>3200</v>
      </c>
      <c r="J4" s="9">
        <v>6400</v>
      </c>
      <c r="K4" s="10" t="s">
        <v>55</v>
      </c>
    </row>
    <row r="5" spans="1:11" x14ac:dyDescent="0.25">
      <c r="A5" s="11">
        <v>46030</v>
      </c>
      <c r="B5" s="12" t="s">
        <v>68</v>
      </c>
      <c r="C5" s="12" t="s">
        <v>69</v>
      </c>
      <c r="D5" s="12" t="s">
        <v>70</v>
      </c>
      <c r="E5" s="12" t="s">
        <v>71</v>
      </c>
      <c r="F5" s="12" t="s">
        <v>53</v>
      </c>
      <c r="G5" s="12" t="s">
        <v>61</v>
      </c>
      <c r="H5" s="12">
        <v>3</v>
      </c>
      <c r="I5" s="12">
        <v>1200</v>
      </c>
      <c r="J5" s="12">
        <v>3600</v>
      </c>
      <c r="K5" s="13" t="s">
        <v>55</v>
      </c>
    </row>
    <row r="6" spans="1:11" x14ac:dyDescent="0.25">
      <c r="A6" s="8">
        <v>46031</v>
      </c>
      <c r="B6" s="9" t="s">
        <v>72</v>
      </c>
      <c r="C6" s="9" t="s">
        <v>73</v>
      </c>
      <c r="D6" s="9" t="s">
        <v>74</v>
      </c>
      <c r="E6" s="9" t="s">
        <v>75</v>
      </c>
      <c r="F6" s="9" t="s">
        <v>60</v>
      </c>
      <c r="G6" s="9" t="s">
        <v>54</v>
      </c>
      <c r="H6" s="9">
        <v>2</v>
      </c>
      <c r="I6" s="9">
        <v>2100</v>
      </c>
      <c r="J6" s="9">
        <v>4200</v>
      </c>
      <c r="K6" s="10" t="s">
        <v>55</v>
      </c>
    </row>
    <row r="7" spans="1:11" x14ac:dyDescent="0.25">
      <c r="A7" s="11">
        <v>46032</v>
      </c>
      <c r="B7" s="12" t="s">
        <v>76</v>
      </c>
      <c r="C7" s="12" t="s">
        <v>50</v>
      </c>
      <c r="D7" s="12" t="s">
        <v>77</v>
      </c>
      <c r="E7" s="12" t="s">
        <v>52</v>
      </c>
      <c r="F7" s="12" t="s">
        <v>66</v>
      </c>
      <c r="G7" s="12" t="s">
        <v>67</v>
      </c>
      <c r="H7" s="12">
        <v>1</v>
      </c>
      <c r="I7" s="12">
        <v>3200</v>
      </c>
      <c r="J7" s="12">
        <v>3200</v>
      </c>
      <c r="K7" s="13" t="s">
        <v>55</v>
      </c>
    </row>
    <row r="8" spans="1:11" x14ac:dyDescent="0.25">
      <c r="A8" s="8">
        <v>46034</v>
      </c>
      <c r="B8" s="9" t="s">
        <v>78</v>
      </c>
      <c r="C8" s="9" t="s">
        <v>57</v>
      </c>
      <c r="D8" s="9" t="s">
        <v>79</v>
      </c>
      <c r="E8" s="9" t="s">
        <v>59</v>
      </c>
      <c r="F8" s="9" t="s">
        <v>53</v>
      </c>
      <c r="G8" s="9" t="s">
        <v>61</v>
      </c>
      <c r="H8" s="9">
        <v>4</v>
      </c>
      <c r="I8" s="9">
        <v>1200</v>
      </c>
      <c r="J8" s="9">
        <v>4800</v>
      </c>
      <c r="K8" s="10" t="s">
        <v>55</v>
      </c>
    </row>
    <row r="9" spans="1:11" x14ac:dyDescent="0.25">
      <c r="A9" s="11">
        <v>46036</v>
      </c>
      <c r="B9" s="12" t="s">
        <v>80</v>
      </c>
      <c r="C9" s="12" t="s">
        <v>63</v>
      </c>
      <c r="D9" s="12" t="s">
        <v>81</v>
      </c>
      <c r="E9" s="12" t="s">
        <v>65</v>
      </c>
      <c r="F9" s="12" t="s">
        <v>60</v>
      </c>
      <c r="G9" s="12" t="s">
        <v>54</v>
      </c>
      <c r="H9" s="12">
        <v>2</v>
      </c>
      <c r="I9" s="12">
        <v>2100</v>
      </c>
      <c r="J9" s="12">
        <v>4200</v>
      </c>
      <c r="K9" s="13" t="s">
        <v>55</v>
      </c>
    </row>
    <row r="10" spans="1:11" x14ac:dyDescent="0.25">
      <c r="A10" s="8">
        <v>46038</v>
      </c>
      <c r="B10" s="9" t="s">
        <v>82</v>
      </c>
      <c r="C10" s="9" t="s">
        <v>69</v>
      </c>
      <c r="D10" s="9" t="s">
        <v>83</v>
      </c>
      <c r="E10" s="9" t="s">
        <v>71</v>
      </c>
      <c r="F10" s="9" t="s">
        <v>66</v>
      </c>
      <c r="G10" s="9" t="s">
        <v>67</v>
      </c>
      <c r="H10" s="9">
        <v>1</v>
      </c>
      <c r="I10" s="9">
        <v>3200</v>
      </c>
      <c r="J10" s="9">
        <v>3200</v>
      </c>
      <c r="K10" s="10" t="s">
        <v>55</v>
      </c>
    </row>
    <row r="11" spans="1:11" x14ac:dyDescent="0.25">
      <c r="A11" s="14">
        <v>46040</v>
      </c>
      <c r="B11" s="5" t="s">
        <v>84</v>
      </c>
      <c r="C11" s="5" t="s">
        <v>73</v>
      </c>
      <c r="D11" s="5" t="s">
        <v>85</v>
      </c>
      <c r="E11" s="5" t="s">
        <v>75</v>
      </c>
      <c r="F11" s="5" t="s">
        <v>53</v>
      </c>
      <c r="G11" s="5" t="s">
        <v>61</v>
      </c>
      <c r="H11" s="5">
        <v>5</v>
      </c>
      <c r="I11" s="5">
        <v>1200</v>
      </c>
      <c r="J11" s="5">
        <v>6000</v>
      </c>
      <c r="K11" s="6" t="s">
        <v>55</v>
      </c>
    </row>
    <row r="12" spans="1:11" x14ac:dyDescent="0.25">
      <c r="A12" s="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D332B-D79B-4279-B08E-0E806BA56D94}">
  <sheetPr codeName="Feuil4"/>
  <dimension ref="A1:E6"/>
  <sheetViews>
    <sheetView workbookViewId="0">
      <selection activeCell="F37" sqref="F37"/>
    </sheetView>
  </sheetViews>
  <sheetFormatPr baseColWidth="10" defaultRowHeight="15" x14ac:dyDescent="0.25"/>
  <cols>
    <col min="1" max="1" width="10.7109375" bestFit="1" customWidth="1"/>
    <col min="2" max="2" width="14.42578125" bestFit="1" customWidth="1"/>
    <col min="3" max="3" width="11.5703125" bestFit="1" customWidth="1"/>
    <col min="4" max="4" width="15.42578125" bestFit="1" customWidth="1"/>
    <col min="5" max="5" width="24.42578125" bestFit="1" customWidth="1"/>
  </cols>
  <sheetData>
    <row r="1" spans="1:5" x14ac:dyDescent="0.25">
      <c r="A1" s="17" t="s">
        <v>24</v>
      </c>
      <c r="B1" s="17" t="s">
        <v>25</v>
      </c>
      <c r="C1" s="17" t="s">
        <v>26</v>
      </c>
      <c r="D1" s="17" t="s">
        <v>27</v>
      </c>
      <c r="E1" s="17" t="s">
        <v>28</v>
      </c>
    </row>
    <row r="2" spans="1:5" x14ac:dyDescent="0.25">
      <c r="A2" s="15">
        <v>46023</v>
      </c>
      <c r="B2" s="9" t="s">
        <v>50</v>
      </c>
      <c r="C2" s="9">
        <v>12000</v>
      </c>
      <c r="D2" s="9">
        <v>8</v>
      </c>
      <c r="E2" s="9">
        <v>0.05</v>
      </c>
    </row>
    <row r="3" spans="1:5" x14ac:dyDescent="0.25">
      <c r="A3" s="16">
        <v>46023</v>
      </c>
      <c r="B3" s="12" t="s">
        <v>57</v>
      </c>
      <c r="C3" s="12">
        <v>11000</v>
      </c>
      <c r="D3" s="12">
        <v>7</v>
      </c>
      <c r="E3" s="12">
        <v>0.05</v>
      </c>
    </row>
    <row r="4" spans="1:5" x14ac:dyDescent="0.25">
      <c r="A4" s="15">
        <v>46023</v>
      </c>
      <c r="B4" s="9" t="s">
        <v>63</v>
      </c>
      <c r="C4" s="9">
        <v>12500</v>
      </c>
      <c r="D4" s="9">
        <v>7</v>
      </c>
      <c r="E4" s="9">
        <v>0.04</v>
      </c>
    </row>
    <row r="5" spans="1:5" x14ac:dyDescent="0.25">
      <c r="A5" s="16">
        <v>46023</v>
      </c>
      <c r="B5" s="12" t="s">
        <v>69</v>
      </c>
      <c r="C5" s="12">
        <v>10000</v>
      </c>
      <c r="D5" s="12">
        <v>6</v>
      </c>
      <c r="E5" s="12">
        <v>0.05</v>
      </c>
    </row>
    <row r="6" spans="1:5" x14ac:dyDescent="0.25">
      <c r="A6" s="15">
        <v>46023</v>
      </c>
      <c r="B6" s="9" t="s">
        <v>73</v>
      </c>
      <c r="C6" s="9">
        <v>13500</v>
      </c>
      <c r="D6" s="9">
        <v>8</v>
      </c>
      <c r="E6" s="9">
        <v>0.04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C8CF6-9703-423B-B214-EA83626184E0}">
  <sheetPr codeName="Feuil5"/>
  <dimension ref="A1:F4"/>
  <sheetViews>
    <sheetView workbookViewId="0">
      <selection activeCell="D4" sqref="D4"/>
    </sheetView>
  </sheetViews>
  <sheetFormatPr baseColWidth="10" defaultRowHeight="15" x14ac:dyDescent="0.25"/>
  <cols>
    <col min="1" max="1" width="16.140625" bestFit="1" customWidth="1"/>
    <col min="2" max="2" width="13.7109375" bestFit="1" customWidth="1"/>
    <col min="3" max="3" width="11" bestFit="1" customWidth="1"/>
    <col min="4" max="5" width="16.28515625" bestFit="1" customWidth="1"/>
    <col min="6" max="6" width="25.5703125" bestFit="1" customWidth="1"/>
  </cols>
  <sheetData>
    <row r="1" spans="1:6" x14ac:dyDescent="0.25">
      <c r="A1" s="17" t="s">
        <v>44</v>
      </c>
      <c r="B1" s="17" t="s">
        <v>45</v>
      </c>
      <c r="C1" s="17" t="s">
        <v>30</v>
      </c>
      <c r="D1" s="17" t="s">
        <v>46</v>
      </c>
      <c r="E1" s="17" t="s">
        <v>47</v>
      </c>
      <c r="F1" s="17" t="s">
        <v>48</v>
      </c>
    </row>
    <row r="2" spans="1:6" x14ac:dyDescent="0.25">
      <c r="A2" s="15">
        <v>46034</v>
      </c>
      <c r="B2" s="9" t="s">
        <v>91</v>
      </c>
      <c r="C2" s="9" t="s">
        <v>56</v>
      </c>
      <c r="D2" s="9">
        <v>2100</v>
      </c>
      <c r="E2" s="9" t="s">
        <v>92</v>
      </c>
      <c r="F2" s="9" t="s">
        <v>93</v>
      </c>
    </row>
    <row r="3" spans="1:6" x14ac:dyDescent="0.25">
      <c r="A3" s="16">
        <v>46037</v>
      </c>
      <c r="B3" s="12" t="s">
        <v>94</v>
      </c>
      <c r="C3" s="12" t="s">
        <v>76</v>
      </c>
      <c r="D3" s="12">
        <v>600</v>
      </c>
      <c r="E3" s="12" t="s">
        <v>95</v>
      </c>
      <c r="F3" s="12" t="s">
        <v>96</v>
      </c>
    </row>
    <row r="4" spans="1:6" x14ac:dyDescent="0.25">
      <c r="A4" s="15">
        <v>46042</v>
      </c>
      <c r="B4" s="9" t="s">
        <v>97</v>
      </c>
      <c r="C4" s="9" t="s">
        <v>84</v>
      </c>
      <c r="D4" s="9">
        <v>1200</v>
      </c>
      <c r="E4" s="9" t="s">
        <v>95</v>
      </c>
      <c r="F4" s="9" t="s">
        <v>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8F879-B844-4AD2-AD85-C73BA9ED3F15}">
  <sheetPr codeName="Feuil6"/>
  <dimension ref="A1:G7"/>
  <sheetViews>
    <sheetView workbookViewId="0">
      <selection activeCell="A7" sqref="A7:XFD7"/>
    </sheetView>
  </sheetViews>
  <sheetFormatPr baseColWidth="10" defaultRowHeight="15" x14ac:dyDescent="0.25"/>
  <cols>
    <col min="1" max="1" width="14.42578125" bestFit="1" customWidth="1"/>
    <col min="2" max="2" width="17" bestFit="1" customWidth="1"/>
    <col min="3" max="3" width="14.28515625" bestFit="1" customWidth="1"/>
    <col min="4" max="4" width="12.85546875" bestFit="1" customWidth="1"/>
    <col min="5" max="5" width="12" bestFit="1" customWidth="1"/>
    <col min="6" max="6" width="11.42578125" bestFit="1" customWidth="1"/>
    <col min="7" max="7" width="6.28515625" bestFit="1" customWidth="1"/>
  </cols>
  <sheetData>
    <row r="1" spans="1:7" x14ac:dyDescent="0.25">
      <c r="A1" s="26" t="s">
        <v>25</v>
      </c>
      <c r="B1" s="17" t="s">
        <v>39</v>
      </c>
      <c r="C1" s="17" t="s">
        <v>40</v>
      </c>
      <c r="D1" s="17" t="s">
        <v>32</v>
      </c>
      <c r="E1" s="17" t="s">
        <v>41</v>
      </c>
      <c r="F1" s="17" t="s">
        <v>42</v>
      </c>
      <c r="G1" s="27" t="s">
        <v>43</v>
      </c>
    </row>
    <row r="2" spans="1:7" x14ac:dyDescent="0.25">
      <c r="A2" s="19" t="s">
        <v>50</v>
      </c>
      <c r="B2" s="9" t="s">
        <v>100</v>
      </c>
      <c r="C2" s="9" t="s">
        <v>101</v>
      </c>
      <c r="D2" s="9" t="s">
        <v>52</v>
      </c>
      <c r="E2" s="15">
        <v>44986</v>
      </c>
      <c r="F2" s="9"/>
      <c r="G2" s="10" t="s">
        <v>102</v>
      </c>
    </row>
    <row r="3" spans="1:7" x14ac:dyDescent="0.25">
      <c r="A3" s="20" t="s">
        <v>57</v>
      </c>
      <c r="B3" s="12" t="s">
        <v>103</v>
      </c>
      <c r="C3" s="12" t="s">
        <v>101</v>
      </c>
      <c r="D3" s="12" t="s">
        <v>59</v>
      </c>
      <c r="E3" s="16">
        <v>45458</v>
      </c>
      <c r="F3" s="12"/>
      <c r="G3" s="13" t="s">
        <v>102</v>
      </c>
    </row>
    <row r="4" spans="1:7" x14ac:dyDescent="0.25">
      <c r="A4" s="19" t="s">
        <v>63</v>
      </c>
      <c r="B4" s="9" t="s">
        <v>104</v>
      </c>
      <c r="C4" s="9" t="s">
        <v>105</v>
      </c>
      <c r="D4" s="9" t="s">
        <v>65</v>
      </c>
      <c r="E4" s="15">
        <v>44805</v>
      </c>
      <c r="F4" s="9"/>
      <c r="G4" s="10" t="s">
        <v>102</v>
      </c>
    </row>
    <row r="5" spans="1:7" x14ac:dyDescent="0.25">
      <c r="A5" s="20" t="s">
        <v>69</v>
      </c>
      <c r="B5" s="12" t="s">
        <v>106</v>
      </c>
      <c r="C5" s="12" t="s">
        <v>105</v>
      </c>
      <c r="D5" s="12" t="s">
        <v>71</v>
      </c>
      <c r="E5" s="16">
        <v>45667</v>
      </c>
      <c r="F5" s="12"/>
      <c r="G5" s="13" t="s">
        <v>102</v>
      </c>
    </row>
    <row r="6" spans="1:7" x14ac:dyDescent="0.25">
      <c r="A6" s="7" t="s">
        <v>73</v>
      </c>
      <c r="B6" s="3" t="s">
        <v>107</v>
      </c>
      <c r="C6" s="3" t="s">
        <v>108</v>
      </c>
      <c r="D6" s="3" t="s">
        <v>75</v>
      </c>
      <c r="E6" s="18">
        <v>44228</v>
      </c>
      <c r="F6" s="3"/>
      <c r="G6" s="4" t="s">
        <v>102</v>
      </c>
    </row>
    <row r="7" spans="1:7" x14ac:dyDescent="0.25">
      <c r="E7" s="3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8825-37C2-456F-95F2-2FAF62D98512}">
  <sheetPr codeName="Feuil7"/>
  <dimension ref="A1:G46"/>
  <sheetViews>
    <sheetView workbookViewId="0">
      <selection activeCell="E14" sqref="E14"/>
    </sheetView>
  </sheetViews>
  <sheetFormatPr baseColWidth="10" defaultRowHeight="15" x14ac:dyDescent="0.25"/>
  <cols>
    <col min="1" max="1" width="13.85546875" style="25" bestFit="1" customWidth="1"/>
    <col min="2" max="2" width="7" bestFit="1" customWidth="1"/>
    <col min="3" max="3" width="12.7109375" bestFit="1" customWidth="1"/>
    <col min="4" max="4" width="10.42578125" bestFit="1" customWidth="1"/>
    <col min="5" max="5" width="14.85546875" bestFit="1" customWidth="1"/>
    <col min="6" max="6" width="7.28515625" bestFit="1" customWidth="1"/>
    <col min="7" max="7" width="55.7109375" style="23" customWidth="1"/>
  </cols>
  <sheetData>
    <row r="1" spans="1:7" x14ac:dyDescent="0.25">
      <c r="A1" s="24" t="s">
        <v>109</v>
      </c>
      <c r="B1" s="21" t="s">
        <v>110</v>
      </c>
      <c r="C1" s="21" t="s">
        <v>111</v>
      </c>
      <c r="D1" s="21" t="s">
        <v>112</v>
      </c>
      <c r="E1" s="21" t="s">
        <v>113</v>
      </c>
      <c r="F1" s="21" t="s">
        <v>114</v>
      </c>
      <c r="G1" s="22" t="s">
        <v>115</v>
      </c>
    </row>
    <row r="2" spans="1:7" x14ac:dyDescent="0.25">
      <c r="D2" s="36"/>
    </row>
    <row r="3" spans="1:7" x14ac:dyDescent="0.25">
      <c r="D3" s="36"/>
    </row>
    <row r="4" spans="1:7" x14ac:dyDescent="0.25">
      <c r="D4" s="36"/>
    </row>
    <row r="5" spans="1:7" x14ac:dyDescent="0.25">
      <c r="D5" s="36"/>
    </row>
    <row r="6" spans="1:7" x14ac:dyDescent="0.25">
      <c r="D6" s="36"/>
    </row>
    <row r="7" spans="1:7" x14ac:dyDescent="0.25">
      <c r="D7" s="36"/>
    </row>
    <row r="8" spans="1:7" x14ac:dyDescent="0.25">
      <c r="D8" s="36"/>
    </row>
    <row r="9" spans="1:7" x14ac:dyDescent="0.25">
      <c r="D9" s="36"/>
    </row>
    <row r="10" spans="1:7" x14ac:dyDescent="0.25">
      <c r="D10" s="36"/>
    </row>
    <row r="11" spans="1:7" x14ac:dyDescent="0.25">
      <c r="D11" s="36"/>
    </row>
    <row r="12" spans="1:7" x14ac:dyDescent="0.25">
      <c r="D12" s="36"/>
    </row>
    <row r="13" spans="1:7" x14ac:dyDescent="0.25">
      <c r="D13" s="36"/>
    </row>
    <row r="14" spans="1:7" x14ac:dyDescent="0.25">
      <c r="D14" s="36"/>
    </row>
    <row r="15" spans="1:7" x14ac:dyDescent="0.25">
      <c r="D15" s="36"/>
    </row>
    <row r="16" spans="1:7" x14ac:dyDescent="0.25">
      <c r="D16" s="36"/>
    </row>
    <row r="17" spans="4:4" x14ac:dyDescent="0.25">
      <c r="D17" s="36"/>
    </row>
    <row r="18" spans="4:4" x14ac:dyDescent="0.25">
      <c r="D18" s="36"/>
    </row>
    <row r="19" spans="4:4" x14ac:dyDescent="0.25">
      <c r="D19" s="36"/>
    </row>
    <row r="20" spans="4:4" x14ac:dyDescent="0.25">
      <c r="D20" s="36"/>
    </row>
    <row r="21" spans="4:4" x14ac:dyDescent="0.25">
      <c r="D21" s="36"/>
    </row>
    <row r="22" spans="4:4" x14ac:dyDescent="0.25">
      <c r="D22" s="36"/>
    </row>
    <row r="23" spans="4:4" x14ac:dyDescent="0.25">
      <c r="D23" s="36"/>
    </row>
    <row r="24" spans="4:4" x14ac:dyDescent="0.25">
      <c r="D24" s="36"/>
    </row>
    <row r="25" spans="4:4" x14ac:dyDescent="0.25">
      <c r="D25" s="36"/>
    </row>
    <row r="26" spans="4:4" x14ac:dyDescent="0.25">
      <c r="D26" s="36"/>
    </row>
    <row r="27" spans="4:4" x14ac:dyDescent="0.25">
      <c r="D27" s="36"/>
    </row>
    <row r="28" spans="4:4" x14ac:dyDescent="0.25">
      <c r="D28" s="36"/>
    </row>
    <row r="29" spans="4:4" x14ac:dyDescent="0.25">
      <c r="D29" s="36"/>
    </row>
    <row r="30" spans="4:4" x14ac:dyDescent="0.25">
      <c r="D30" s="36"/>
    </row>
    <row r="43" spans="4:4" x14ac:dyDescent="0.25">
      <c r="D43" s="36"/>
    </row>
    <row r="44" spans="4:4" x14ac:dyDescent="0.25">
      <c r="D44" s="36"/>
    </row>
    <row r="45" spans="4:4" x14ac:dyDescent="0.25">
      <c r="D45" s="36"/>
    </row>
    <row r="46" spans="4:4" x14ac:dyDescent="0.25">
      <c r="D46" s="3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EF98B-4C29-4C5F-9F9A-57C8B0A68B70}">
  <sheetPr codeName="Feuil8"/>
  <dimension ref="A1:O6"/>
  <sheetViews>
    <sheetView workbookViewId="0">
      <selection activeCell="M2" sqref="M2"/>
    </sheetView>
  </sheetViews>
  <sheetFormatPr baseColWidth="10" defaultRowHeight="15" x14ac:dyDescent="0.25"/>
  <cols>
    <col min="1" max="1" width="14.42578125" bestFit="1" customWidth="1"/>
    <col min="2" max="2" width="20.7109375" customWidth="1"/>
    <col min="3" max="3" width="12.85546875" bestFit="1" customWidth="1"/>
    <col min="4" max="4" width="10.42578125" style="31" bestFit="1" customWidth="1"/>
    <col min="5" max="5" width="16.140625" style="31" bestFit="1" customWidth="1"/>
    <col min="6" max="6" width="10.42578125" style="31" bestFit="1" customWidth="1"/>
    <col min="7" max="7" width="11.5703125" style="31" bestFit="1" customWidth="1"/>
    <col min="8" max="8" width="13.42578125" style="31" bestFit="1" customWidth="1"/>
    <col min="9" max="9" width="13.5703125" style="32" bestFit="1" customWidth="1"/>
    <col min="10" max="10" width="15.5703125" style="33" bestFit="1" customWidth="1"/>
    <col min="11" max="11" width="15.42578125" style="33" bestFit="1" customWidth="1"/>
    <col min="12" max="12" width="12.5703125" style="33" bestFit="1" customWidth="1"/>
    <col min="13" max="13" width="22" style="31" bestFit="1" customWidth="1"/>
    <col min="14" max="14" width="16.140625" style="32" bestFit="1" customWidth="1"/>
    <col min="15" max="15" width="22.7109375" style="32" customWidth="1"/>
    <col min="16" max="16" width="22.7109375" customWidth="1"/>
  </cols>
  <sheetData>
    <row r="1" spans="1:15" x14ac:dyDescent="0.25">
      <c r="A1" t="s">
        <v>25</v>
      </c>
      <c r="B1" t="s">
        <v>39</v>
      </c>
      <c r="C1" t="s">
        <v>32</v>
      </c>
      <c r="D1" s="31" t="s">
        <v>116</v>
      </c>
      <c r="E1" s="31" t="s">
        <v>46</v>
      </c>
      <c r="F1" s="31" t="s">
        <v>117</v>
      </c>
      <c r="G1" s="31" t="s">
        <v>26</v>
      </c>
      <c r="H1" s="31" t="s">
        <v>118</v>
      </c>
      <c r="I1" s="32" t="s">
        <v>119</v>
      </c>
      <c r="J1" s="33" t="s">
        <v>120</v>
      </c>
      <c r="K1" s="33" t="s">
        <v>27</v>
      </c>
      <c r="L1" s="33" t="s">
        <v>121</v>
      </c>
      <c r="M1" s="31" t="s">
        <v>149</v>
      </c>
      <c r="N1" s="32" t="s">
        <v>122</v>
      </c>
      <c r="O1" s="32" t="s">
        <v>123</v>
      </c>
    </row>
    <row r="2" spans="1:15" x14ac:dyDescent="0.25">
      <c r="A2" t="s">
        <v>63</v>
      </c>
      <c r="B2" t="s">
        <v>104</v>
      </c>
      <c r="C2" t="s">
        <v>65</v>
      </c>
      <c r="D2" s="31">
        <v>10600</v>
      </c>
      <c r="E2" s="31">
        <v>0</v>
      </c>
      <c r="F2" s="31">
        <v>10600</v>
      </c>
      <c r="G2" s="31">
        <v>12500</v>
      </c>
      <c r="H2" s="31">
        <v>-1900</v>
      </c>
      <c r="I2" s="32">
        <v>0.84799999999999998</v>
      </c>
      <c r="J2" s="33">
        <v>4</v>
      </c>
      <c r="K2" s="33">
        <v>7</v>
      </c>
      <c r="L2" s="33">
        <v>-3</v>
      </c>
      <c r="M2" s="31">
        <v>2650</v>
      </c>
      <c r="N2" s="32">
        <v>0</v>
      </c>
      <c r="O2" s="32" t="s">
        <v>128</v>
      </c>
    </row>
    <row r="3" spans="1:15" x14ac:dyDescent="0.25">
      <c r="A3" t="s">
        <v>69</v>
      </c>
      <c r="B3" t="s">
        <v>106</v>
      </c>
      <c r="C3" t="s">
        <v>71</v>
      </c>
      <c r="D3" s="31">
        <v>6800</v>
      </c>
      <c r="E3" s="31">
        <v>0</v>
      </c>
      <c r="F3" s="31">
        <v>6800</v>
      </c>
      <c r="G3" s="31">
        <v>10000</v>
      </c>
      <c r="H3" s="31">
        <v>-3200</v>
      </c>
      <c r="I3" s="32">
        <v>0.68</v>
      </c>
      <c r="J3" s="33">
        <v>4</v>
      </c>
      <c r="K3" s="33">
        <v>6</v>
      </c>
      <c r="L3" s="33">
        <v>-2</v>
      </c>
      <c r="M3" s="31">
        <v>1700</v>
      </c>
      <c r="N3" s="32">
        <v>0</v>
      </c>
      <c r="O3" s="32" t="s">
        <v>127</v>
      </c>
    </row>
    <row r="4" spans="1:15" x14ac:dyDescent="0.25">
      <c r="A4" t="s">
        <v>73</v>
      </c>
      <c r="B4" t="s">
        <v>107</v>
      </c>
      <c r="C4" t="s">
        <v>75</v>
      </c>
      <c r="D4" s="31">
        <v>10200</v>
      </c>
      <c r="E4" s="31">
        <v>1200</v>
      </c>
      <c r="F4" s="31">
        <v>9000</v>
      </c>
      <c r="G4" s="31">
        <v>13500</v>
      </c>
      <c r="H4" s="31">
        <v>-4500</v>
      </c>
      <c r="I4" s="32">
        <v>0.66666666666666663</v>
      </c>
      <c r="J4" s="33">
        <v>7</v>
      </c>
      <c r="K4" s="33">
        <v>8</v>
      </c>
      <c r="L4" s="33">
        <v>-1</v>
      </c>
      <c r="M4" s="31">
        <v>1285.7142857142858</v>
      </c>
      <c r="N4" s="32">
        <v>0.11764705882352941</v>
      </c>
      <c r="O4" s="32" t="s">
        <v>127</v>
      </c>
    </row>
    <row r="5" spans="1:15" x14ac:dyDescent="0.25">
      <c r="A5" t="s">
        <v>57</v>
      </c>
      <c r="B5" t="s">
        <v>103</v>
      </c>
      <c r="C5" t="s">
        <v>59</v>
      </c>
      <c r="D5" s="31">
        <v>6900</v>
      </c>
      <c r="E5" s="31">
        <v>2100</v>
      </c>
      <c r="F5" s="31">
        <v>4800</v>
      </c>
      <c r="G5" s="31">
        <v>11000</v>
      </c>
      <c r="H5" s="31">
        <v>-6200</v>
      </c>
      <c r="I5" s="32">
        <v>0.43636363636363634</v>
      </c>
      <c r="J5" s="33">
        <v>5</v>
      </c>
      <c r="K5" s="33">
        <v>7</v>
      </c>
      <c r="L5" s="33">
        <v>-2</v>
      </c>
      <c r="M5" s="31">
        <v>960</v>
      </c>
      <c r="N5" s="32">
        <v>0.30434782608695654</v>
      </c>
      <c r="O5" s="32" t="s">
        <v>127</v>
      </c>
    </row>
    <row r="6" spans="1:15" x14ac:dyDescent="0.25">
      <c r="A6" t="s">
        <v>50</v>
      </c>
      <c r="B6" t="s">
        <v>100</v>
      </c>
      <c r="C6" t="s">
        <v>52</v>
      </c>
      <c r="D6" s="31">
        <v>5600</v>
      </c>
      <c r="E6" s="31">
        <v>600</v>
      </c>
      <c r="F6" s="31">
        <v>5000</v>
      </c>
      <c r="G6" s="31">
        <v>12000</v>
      </c>
      <c r="H6" s="31">
        <v>-7000</v>
      </c>
      <c r="I6" s="32">
        <v>0.41666666666666669</v>
      </c>
      <c r="J6" s="33">
        <v>3</v>
      </c>
      <c r="K6" s="33">
        <v>8</v>
      </c>
      <c r="L6" s="33">
        <v>-5</v>
      </c>
      <c r="M6" s="31">
        <v>1666.6666666666667</v>
      </c>
      <c r="N6" s="32">
        <v>0.10714285714285714</v>
      </c>
      <c r="O6" s="32" t="s">
        <v>127</v>
      </c>
    </row>
  </sheetData>
  <sortState xmlns:xlrd2="http://schemas.microsoft.com/office/spreadsheetml/2017/richdata2" ref="A2:O6">
    <sortCondition descending="1" ref="I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C110-F0B0-4C15-A25A-33E2FF490559}">
  <sheetPr codeName="Feuil9">
    <pageSetUpPr fitToPage="1"/>
  </sheetPr>
  <dimension ref="B1:AA50"/>
  <sheetViews>
    <sheetView showGridLines="0" zoomScale="70" zoomScaleNormal="70" workbookViewId="0">
      <selection activeCell="B2" sqref="B2:Q3"/>
    </sheetView>
  </sheetViews>
  <sheetFormatPr baseColWidth="10" defaultRowHeight="15" x14ac:dyDescent="0.25"/>
  <cols>
    <col min="1" max="17" width="11.7109375" customWidth="1"/>
    <col min="19" max="27" width="11.42578125" hidden="1" customWidth="1"/>
  </cols>
  <sheetData>
    <row r="1" spans="2:27" ht="21.95" customHeight="1" x14ac:dyDescent="0.25">
      <c r="S1" t="s">
        <v>67</v>
      </c>
      <c r="T1" t="s">
        <v>117</v>
      </c>
      <c r="U1" t="s">
        <v>26</v>
      </c>
      <c r="W1" t="s">
        <v>67</v>
      </c>
      <c r="X1" t="s">
        <v>119</v>
      </c>
      <c r="Z1" t="s">
        <v>67</v>
      </c>
      <c r="AA1" t="s">
        <v>46</v>
      </c>
    </row>
    <row r="2" spans="2:27" ht="21.95" customHeight="1" x14ac:dyDescent="0.25">
      <c r="B2" s="38" t="s">
        <v>150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S2" t="s">
        <v>104</v>
      </c>
      <c r="T2">
        <v>10600</v>
      </c>
      <c r="U2">
        <v>12500</v>
      </c>
      <c r="W2" t="s">
        <v>100</v>
      </c>
      <c r="X2">
        <v>0.41666666666666669</v>
      </c>
      <c r="Z2" t="s">
        <v>103</v>
      </c>
      <c r="AA2">
        <v>2100</v>
      </c>
    </row>
    <row r="3" spans="2:27" ht="21.95" customHeight="1" x14ac:dyDescent="0.25"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S3" t="s">
        <v>107</v>
      </c>
      <c r="T3">
        <v>9000</v>
      </c>
      <c r="U3">
        <v>13500</v>
      </c>
      <c r="W3" t="s">
        <v>103</v>
      </c>
      <c r="X3">
        <v>0.43636363636363634</v>
      </c>
      <c r="Z3" t="s">
        <v>107</v>
      </c>
      <c r="AA3">
        <v>1200</v>
      </c>
    </row>
    <row r="4" spans="2:27" ht="21.95" customHeight="1" x14ac:dyDescent="0.25">
      <c r="S4" t="s">
        <v>106</v>
      </c>
      <c r="T4">
        <v>6800</v>
      </c>
      <c r="U4">
        <v>10000</v>
      </c>
      <c r="W4" t="s">
        <v>107</v>
      </c>
      <c r="X4">
        <v>0.66666666666666663</v>
      </c>
      <c r="Z4" t="s">
        <v>100</v>
      </c>
      <c r="AA4">
        <v>600</v>
      </c>
    </row>
    <row r="5" spans="2:27" ht="21.95" customHeight="1" x14ac:dyDescent="0.25">
      <c r="B5" s="37" t="s">
        <v>151</v>
      </c>
      <c r="C5" s="37"/>
      <c r="D5" s="37"/>
      <c r="E5" s="37"/>
      <c r="F5" s="37" t="s">
        <v>152</v>
      </c>
      <c r="G5" s="37"/>
      <c r="H5" s="37"/>
      <c r="I5" s="37"/>
      <c r="J5" s="37" t="s">
        <v>153</v>
      </c>
      <c r="K5" s="37"/>
      <c r="L5" s="37"/>
      <c r="M5" s="37"/>
      <c r="N5" s="37" t="s">
        <v>154</v>
      </c>
      <c r="O5" s="37"/>
      <c r="P5" s="37"/>
      <c r="Q5" s="37"/>
      <c r="S5" t="s">
        <v>100</v>
      </c>
      <c r="T5">
        <v>5000</v>
      </c>
      <c r="U5">
        <v>12000</v>
      </c>
      <c r="W5" t="s">
        <v>106</v>
      </c>
      <c r="X5">
        <v>0.68</v>
      </c>
      <c r="Z5" t="s">
        <v>106</v>
      </c>
      <c r="AA5">
        <v>0</v>
      </c>
    </row>
    <row r="6" spans="2:27" ht="21.95" customHeight="1" x14ac:dyDescent="0.25">
      <c r="B6" s="39">
        <v>23</v>
      </c>
      <c r="C6" s="39"/>
      <c r="D6" s="39"/>
      <c r="E6" s="39"/>
      <c r="F6" s="40">
        <v>36200</v>
      </c>
      <c r="G6" s="40"/>
      <c r="H6" s="40"/>
      <c r="I6" s="40"/>
      <c r="J6" s="40">
        <v>59000</v>
      </c>
      <c r="K6" s="40"/>
      <c r="L6" s="40"/>
      <c r="M6" s="40"/>
      <c r="N6" s="41">
        <v>0.61355932203389829</v>
      </c>
      <c r="O6" s="41"/>
      <c r="P6" s="41"/>
      <c r="Q6" s="41"/>
      <c r="S6" t="s">
        <v>103</v>
      </c>
      <c r="T6">
        <v>4800</v>
      </c>
      <c r="U6">
        <v>11000</v>
      </c>
      <c r="W6" t="s">
        <v>104</v>
      </c>
      <c r="X6">
        <v>0.84799999999999998</v>
      </c>
      <c r="Z6" t="s">
        <v>104</v>
      </c>
      <c r="AA6">
        <v>0</v>
      </c>
    </row>
    <row r="7" spans="2:27" ht="21.95" customHeight="1" x14ac:dyDescent="0.25">
      <c r="B7" s="39"/>
      <c r="C7" s="39"/>
      <c r="D7" s="39"/>
      <c r="E7" s="39"/>
      <c r="F7" s="40"/>
      <c r="G7" s="40"/>
      <c r="H7" s="40"/>
      <c r="I7" s="40"/>
      <c r="J7" s="40"/>
      <c r="K7" s="40"/>
      <c r="L7" s="40"/>
      <c r="M7" s="40"/>
      <c r="N7" s="41"/>
      <c r="O7" s="41"/>
      <c r="P7" s="41"/>
      <c r="Q7" s="41"/>
    </row>
    <row r="8" spans="2:27" ht="21.95" customHeight="1" x14ac:dyDescent="0.25">
      <c r="B8" s="39"/>
      <c r="C8" s="39"/>
      <c r="D8" s="39"/>
      <c r="E8" s="39"/>
      <c r="F8" s="40"/>
      <c r="G8" s="40"/>
      <c r="H8" s="40"/>
      <c r="I8" s="40"/>
      <c r="J8" s="40"/>
      <c r="K8" s="40"/>
      <c r="L8" s="40"/>
      <c r="M8" s="40"/>
      <c r="N8" s="41"/>
      <c r="O8" s="41"/>
      <c r="P8" s="41"/>
      <c r="Q8" s="41"/>
    </row>
    <row r="9" spans="2:27" ht="21.95" customHeight="1" x14ac:dyDescent="0.25"/>
    <row r="10" spans="2:27" ht="21.95" customHeight="1" x14ac:dyDescent="0.25">
      <c r="B10" s="42" t="s">
        <v>155</v>
      </c>
      <c r="C10" s="42"/>
      <c r="D10" s="42"/>
      <c r="E10" s="42" t="s">
        <v>128</v>
      </c>
      <c r="F10" s="42"/>
      <c r="G10" s="42"/>
      <c r="H10" s="42" t="s">
        <v>127</v>
      </c>
      <c r="I10" s="42"/>
      <c r="J10" s="42"/>
      <c r="K10" s="42" t="s">
        <v>156</v>
      </c>
      <c r="L10" s="42"/>
      <c r="M10" s="42"/>
      <c r="N10" s="42" t="s">
        <v>157</v>
      </c>
      <c r="O10" s="42"/>
      <c r="P10" s="42"/>
      <c r="Q10" s="42"/>
    </row>
    <row r="11" spans="2:27" ht="21.95" customHeight="1" x14ac:dyDescent="0.25">
      <c r="B11" s="43">
        <v>0</v>
      </c>
      <c r="C11" s="43"/>
      <c r="D11" s="43"/>
      <c r="E11" s="43">
        <v>1</v>
      </c>
      <c r="F11" s="43"/>
      <c r="G11" s="43"/>
      <c r="H11" s="43">
        <v>4</v>
      </c>
      <c r="I11" s="43"/>
      <c r="J11" s="43"/>
      <c r="K11" s="44">
        <v>0.63888888888888884</v>
      </c>
      <c r="L11" s="44"/>
      <c r="M11" s="44"/>
      <c r="N11" s="44">
        <v>9.7256857855361589E-2</v>
      </c>
      <c r="O11" s="44"/>
      <c r="P11" s="44"/>
      <c r="Q11" s="44"/>
    </row>
    <row r="12" spans="2:27" ht="21.95" customHeight="1" x14ac:dyDescent="0.25">
      <c r="B12" s="43"/>
      <c r="C12" s="43"/>
      <c r="D12" s="43"/>
      <c r="E12" s="43"/>
      <c r="F12" s="43"/>
      <c r="G12" s="43"/>
      <c r="H12" s="43"/>
      <c r="I12" s="43"/>
      <c r="J12" s="43"/>
      <c r="K12" s="44"/>
      <c r="L12" s="44"/>
      <c r="M12" s="44"/>
      <c r="N12" s="44"/>
      <c r="O12" s="44"/>
      <c r="P12" s="44"/>
      <c r="Q12" s="44"/>
    </row>
    <row r="13" spans="2:27" ht="21.95" customHeight="1" x14ac:dyDescent="0.25"/>
    <row r="14" spans="2:27" ht="21.95" customHeight="1" x14ac:dyDescent="0.25"/>
    <row r="15" spans="2:27" ht="21.95" customHeight="1" x14ac:dyDescent="0.25"/>
    <row r="16" spans="2:27" ht="21.95" customHeight="1" x14ac:dyDescent="0.25"/>
    <row r="17" customFormat="1" ht="21.95" customHeight="1" x14ac:dyDescent="0.25"/>
    <row r="18" customFormat="1" ht="21.95" customHeight="1" x14ac:dyDescent="0.25"/>
    <row r="19" customFormat="1" ht="21.95" customHeight="1" x14ac:dyDescent="0.25"/>
    <row r="20" customFormat="1" ht="21.95" customHeight="1" x14ac:dyDescent="0.25"/>
    <row r="21" customFormat="1" ht="21.95" customHeight="1" x14ac:dyDescent="0.25"/>
    <row r="22" customFormat="1" ht="21.95" customHeight="1" x14ac:dyDescent="0.25"/>
    <row r="23" customFormat="1" ht="21.95" customHeight="1" x14ac:dyDescent="0.25"/>
    <row r="24" customFormat="1" ht="21.95" customHeight="1" x14ac:dyDescent="0.25"/>
    <row r="25" customFormat="1" ht="21.95" customHeight="1" x14ac:dyDescent="0.25"/>
    <row r="26" customFormat="1" ht="21.95" customHeight="1" x14ac:dyDescent="0.25"/>
    <row r="27" customFormat="1" ht="21.95" customHeight="1" x14ac:dyDescent="0.25"/>
    <row r="28" customFormat="1" ht="21.95" customHeight="1" x14ac:dyDescent="0.25"/>
    <row r="29" customFormat="1" ht="21.95" customHeight="1" x14ac:dyDescent="0.25"/>
    <row r="30" customFormat="1" ht="21.95" customHeight="1" x14ac:dyDescent="0.25"/>
    <row r="31" customFormat="1" ht="21.95" customHeight="1" x14ac:dyDescent="0.25"/>
    <row r="32" customFormat="1" ht="21.95" customHeight="1" x14ac:dyDescent="0.25"/>
    <row r="33" customFormat="1" ht="21.95" customHeight="1" x14ac:dyDescent="0.25"/>
    <row r="34" customFormat="1" ht="21.95" customHeight="1" x14ac:dyDescent="0.25"/>
    <row r="35" customFormat="1" ht="21.95" customHeight="1" x14ac:dyDescent="0.25"/>
    <row r="36" customFormat="1" ht="21.95" customHeight="1" x14ac:dyDescent="0.25"/>
    <row r="37" customFormat="1" ht="21.95" customHeight="1" x14ac:dyDescent="0.25"/>
    <row r="38" customFormat="1" ht="21.95" customHeight="1" x14ac:dyDescent="0.25"/>
    <row r="39" customFormat="1" ht="21.95" customHeight="1" x14ac:dyDescent="0.25"/>
    <row r="40" customFormat="1" ht="21.95" customHeight="1" x14ac:dyDescent="0.25"/>
    <row r="41" customFormat="1" ht="21.95" customHeight="1" x14ac:dyDescent="0.25"/>
    <row r="42" customFormat="1" ht="21.95" customHeight="1" x14ac:dyDescent="0.25"/>
    <row r="43" customFormat="1" ht="21.95" customHeight="1" x14ac:dyDescent="0.25"/>
    <row r="44" customFormat="1" ht="21.95" customHeight="1" x14ac:dyDescent="0.25"/>
    <row r="45" customFormat="1" ht="21.95" customHeight="1" x14ac:dyDescent="0.25"/>
    <row r="46" customFormat="1" ht="21.95" customHeight="1" x14ac:dyDescent="0.25"/>
    <row r="47" customFormat="1" ht="17.25" customHeight="1" x14ac:dyDescent="0.25"/>
    <row r="48" customFormat="1" ht="17.25" customHeight="1" x14ac:dyDescent="0.25"/>
    <row r="49" customFormat="1" ht="17.25" customHeight="1" x14ac:dyDescent="0.25"/>
    <row r="50" customFormat="1" ht="17.25" customHeight="1" x14ac:dyDescent="0.25"/>
  </sheetData>
  <mergeCells count="19">
    <mergeCell ref="N11:Q12"/>
    <mergeCell ref="N6:Q8"/>
    <mergeCell ref="B10:D10"/>
    <mergeCell ref="E10:G10"/>
    <mergeCell ref="H10:J10"/>
    <mergeCell ref="K10:M10"/>
    <mergeCell ref="N10:Q10"/>
    <mergeCell ref="B11:D12"/>
    <mergeCell ref="E11:G12"/>
    <mergeCell ref="H11:J12"/>
    <mergeCell ref="K11:M12"/>
    <mergeCell ref="B6:E8"/>
    <mergeCell ref="F5:I5"/>
    <mergeCell ref="F6:I8"/>
    <mergeCell ref="J5:M5"/>
    <mergeCell ref="J6:M8"/>
    <mergeCell ref="B2:Q3"/>
    <mergeCell ref="B5:E5"/>
    <mergeCell ref="N5:Q5"/>
  </mergeCells>
  <pageMargins left="0.7" right="0.7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9AA36-61A4-432F-A7A0-5F37CEE7E9B3}">
  <sheetPr codeName="Feuil11"/>
  <dimension ref="A1:B15"/>
  <sheetViews>
    <sheetView showGridLines="0" workbookViewId="0">
      <selection activeCell="B28" sqref="B28"/>
    </sheetView>
  </sheetViews>
  <sheetFormatPr baseColWidth="10" defaultRowHeight="15" x14ac:dyDescent="0.25"/>
  <cols>
    <col min="1" max="1" width="28.7109375" customWidth="1"/>
    <col min="2" max="2" width="110.7109375" customWidth="1"/>
  </cols>
  <sheetData>
    <row r="1" spans="1:2" ht="24" customHeight="1" x14ac:dyDescent="0.25">
      <c r="A1" s="45" t="s">
        <v>130</v>
      </c>
      <c r="B1" s="45"/>
    </row>
    <row r="2" spans="1:2" ht="24" customHeight="1" x14ac:dyDescent="0.25">
      <c r="A2" s="45"/>
      <c r="B2" s="45"/>
    </row>
    <row r="3" spans="1:2" ht="24" customHeight="1" x14ac:dyDescent="0.25"/>
    <row r="4" spans="1:2" ht="24" customHeight="1" x14ac:dyDescent="0.25">
      <c r="A4" t="s">
        <v>131</v>
      </c>
      <c r="B4" t="s">
        <v>132</v>
      </c>
    </row>
    <row r="5" spans="1:2" ht="30" x14ac:dyDescent="0.25">
      <c r="A5" s="34" t="s">
        <v>133</v>
      </c>
      <c r="B5" s="35" t="s">
        <v>158</v>
      </c>
    </row>
    <row r="6" spans="1:2" x14ac:dyDescent="0.25">
      <c r="A6" s="34" t="s">
        <v>134</v>
      </c>
      <c r="B6" s="35" t="s">
        <v>159</v>
      </c>
    </row>
    <row r="7" spans="1:2" x14ac:dyDescent="0.25">
      <c r="A7" s="34" t="s">
        <v>135</v>
      </c>
      <c r="B7" s="35" t="s">
        <v>136</v>
      </c>
    </row>
    <row r="8" spans="1:2" x14ac:dyDescent="0.25">
      <c r="A8" s="34" t="s">
        <v>137</v>
      </c>
      <c r="B8" s="35" t="s">
        <v>138</v>
      </c>
    </row>
    <row r="9" spans="1:2" ht="30" x14ac:dyDescent="0.25">
      <c r="A9" s="34" t="s">
        <v>99</v>
      </c>
      <c r="B9" s="35" t="s">
        <v>160</v>
      </c>
    </row>
    <row r="10" spans="1:2" ht="30" x14ac:dyDescent="0.25">
      <c r="A10" s="34" t="s">
        <v>139</v>
      </c>
      <c r="B10" s="35" t="s">
        <v>161</v>
      </c>
    </row>
    <row r="11" spans="1:2" ht="24" customHeight="1" x14ac:dyDescent="0.25"/>
    <row r="12" spans="1:2" ht="24" customHeight="1" x14ac:dyDescent="0.25"/>
    <row r="13" spans="1:2" ht="24" customHeight="1" x14ac:dyDescent="0.25"/>
    <row r="14" spans="1:2" ht="24" customHeight="1" x14ac:dyDescent="0.25"/>
    <row r="15" spans="1:2" ht="24" customHeight="1" x14ac:dyDescent="0.25"/>
  </sheetData>
  <mergeCells count="1">
    <mergeCell ref="A1:B2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AE102-2A29-4EBC-806A-22C4AC27CC38}">
  <sheetPr codeName="Feuil10"/>
  <dimension ref="A1:F28"/>
  <sheetViews>
    <sheetView workbookViewId="0">
      <selection activeCell="C22" sqref="C22"/>
    </sheetView>
  </sheetViews>
  <sheetFormatPr baseColWidth="10" defaultRowHeight="15" x14ac:dyDescent="0.25"/>
  <cols>
    <col min="1" max="1" width="15.7109375" bestFit="1" customWidth="1"/>
    <col min="2" max="2" width="13.140625" bestFit="1" customWidth="1"/>
    <col min="3" max="3" width="126.42578125" bestFit="1" customWidth="1"/>
    <col min="4" max="4" width="14.85546875" bestFit="1" customWidth="1"/>
    <col min="5" max="5" width="7.5703125" bestFit="1" customWidth="1"/>
    <col min="6" max="6" width="55.7109375" bestFit="1" customWidth="1"/>
  </cols>
  <sheetData>
    <row r="1" spans="1:6" x14ac:dyDescent="0.25">
      <c r="A1" s="1" t="s">
        <v>86</v>
      </c>
      <c r="B1" s="1" t="s">
        <v>87</v>
      </c>
      <c r="C1" s="1" t="s">
        <v>88</v>
      </c>
      <c r="D1" s="1" t="s">
        <v>89</v>
      </c>
      <c r="E1" s="1" t="s">
        <v>43</v>
      </c>
      <c r="F1" s="1" t="s">
        <v>90</v>
      </c>
    </row>
    <row r="2" spans="1:6" x14ac:dyDescent="0.25">
      <c r="A2" s="2"/>
    </row>
    <row r="3" spans="1:6" x14ac:dyDescent="0.25">
      <c r="A3" s="2"/>
    </row>
    <row r="4" spans="1:6" x14ac:dyDescent="0.25">
      <c r="A4" s="2"/>
    </row>
    <row r="5" spans="1:6" x14ac:dyDescent="0.25">
      <c r="A5" s="2"/>
    </row>
    <row r="6" spans="1:6" x14ac:dyDescent="0.25">
      <c r="A6" s="2"/>
    </row>
    <row r="7" spans="1:6" x14ac:dyDescent="0.25">
      <c r="A7" s="2"/>
    </row>
    <row r="8" spans="1:6" x14ac:dyDescent="0.25">
      <c r="A8" s="2"/>
    </row>
    <row r="9" spans="1:6" x14ac:dyDescent="0.25">
      <c r="A9" s="2"/>
    </row>
    <row r="10" spans="1:6" x14ac:dyDescent="0.25">
      <c r="A10" s="2"/>
    </row>
    <row r="11" spans="1:6" x14ac:dyDescent="0.25">
      <c r="A11" s="2"/>
    </row>
    <row r="12" spans="1:6" x14ac:dyDescent="0.25">
      <c r="A12" s="2"/>
    </row>
    <row r="13" spans="1:6" x14ac:dyDescent="0.25">
      <c r="A13" s="2"/>
    </row>
    <row r="14" spans="1:6" x14ac:dyDescent="0.25">
      <c r="A14" s="2"/>
    </row>
    <row r="15" spans="1:6" x14ac:dyDescent="0.25">
      <c r="A15" s="2"/>
    </row>
    <row r="16" spans="1:6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</vt:i4>
      </vt:variant>
    </vt:vector>
  </HeadingPairs>
  <TitlesOfParts>
    <vt:vector size="12" baseType="lpstr">
      <vt:lpstr>ACCUEIL</vt:lpstr>
      <vt:lpstr>PARAMETRES</vt:lpstr>
      <vt:lpstr>BASE_VENTES</vt:lpstr>
      <vt:lpstr>BASE_OBJECTIFS</vt:lpstr>
      <vt:lpstr>BASE_ANNULATIONS</vt:lpstr>
      <vt:lpstr>BASE_COMMERCIAUX</vt:lpstr>
      <vt:lpstr>ANOMALIES</vt:lpstr>
      <vt:lpstr>SYNTHESE</vt:lpstr>
      <vt:lpstr>DASHBOARD</vt:lpstr>
      <vt:lpstr>COMMENTAIRES</vt:lpstr>
      <vt:lpstr>JOURNAL</vt:lpstr>
      <vt:lpstr>DASHBOARD!Zone_d_impression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gaeta</dc:creator>
  <cp:lastModifiedBy>Gaetan Pourtout</cp:lastModifiedBy>
  <dcterms:created xsi:type="dcterms:W3CDTF">2015-06-05T18:17:20Z</dcterms:created>
  <dcterms:modified xsi:type="dcterms:W3CDTF">2026-09-07T21:02:48Z</dcterms:modified>
</cp:coreProperties>
</file>